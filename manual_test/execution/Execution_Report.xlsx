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1.xml"/>
  <Override ContentType="application/vnd.openxmlformats-officedocument.drawingml.chart+xml" PartName="/xl/charts/chart7.xml"/>
  <Override ContentType="application/vnd.openxmlformats-officedocument.drawingml.chart+xml" PartName="/xl/charts/chart14.xml"/>
  <Override ContentType="application/vnd.openxmlformats-officedocument.drawingml.chart+xml" PartName="/xl/charts/chart13.xml"/>
  <Override ContentType="application/vnd.openxmlformats-officedocument.drawingml.chart+xml" PartName="/xl/charts/chart4.xml"/>
  <Override ContentType="application/vnd.openxmlformats-officedocument.drawingml.chart+xml" PartName="/xl/charts/chart2.xml"/>
  <Override ContentType="application/vnd.openxmlformats-officedocument.drawingml.chart+xml" PartName="/xl/charts/chart1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8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2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onnées " sheetId="1" r:id="rId5"/>
    <sheet state="visible" name="Anomalies" sheetId="2" r:id="rId6"/>
    <sheet state="visible" name="Tableau de bord" sheetId="3" r:id="rId7"/>
    <sheet state="hidden" name="Tableau de bord 2" sheetId="4" r:id="rId8"/>
    <sheet state="hidden" name="Analyse" sheetId="5" r:id="rId9"/>
  </sheets>
  <definedNames>
    <definedName name="_xlchart.v1.0">#REF!</definedName>
    <definedName localSheetId="0" name="_xlchart.v1.3">'Données '!$F$4:$F$36</definedName>
    <definedName name="_xlchart.v1.8">#REF!</definedName>
    <definedName name="_xlchart.v1.9">#REF!</definedName>
    <definedName localSheetId="0" name="_xlchart.v1.15">'Données '!$F$4:$F$36</definedName>
    <definedName localSheetId="0" name="_xlchart.v1.13">'Données '!$F$4:$F$36</definedName>
    <definedName name="_xlchart.v1.14">#REF!</definedName>
    <definedName name="_xlchart.v1.2">#REF!</definedName>
    <definedName name="_xlchart.v1.11">#REF!</definedName>
    <definedName name="_xlchart.v1.5">#REF!</definedName>
    <definedName name="_xlchart.v1.15">#REF!</definedName>
    <definedName localSheetId="0" name="_xlchart.v1.4">'Données '!$C$4:$D$36</definedName>
    <definedName localSheetId="0" name="_xlchart.v1.2">'Données '!$C$4:$D$36</definedName>
    <definedName localSheetId="0" name="_xlchart.v1.8">'Données '!$C$4:$D$36</definedName>
    <definedName localSheetId="0" name="_xlchart.v1.6">'Données '!$C$4:$D$36</definedName>
    <definedName localSheetId="0" name="_xlchart.v1.14">'Données '!$C$4:$D$36</definedName>
    <definedName localSheetId="0" name="_xlchart.v1.10">'Données '!$C$4:$D$36</definedName>
    <definedName name="_xlchart.v1.6">#REF!</definedName>
    <definedName localSheetId="0" name="_xlchart.v1.5">'Données '!$F$4:$F$36</definedName>
    <definedName localSheetId="0" name="_xlchart.v1.12">'Données '!$C$4:$D$36</definedName>
    <definedName name="_xlchart.v1.13">#REF!</definedName>
    <definedName name="_xlchart.v1.7">#REF!</definedName>
    <definedName name="_xlchart.v1.12">#REF!</definedName>
    <definedName name="_xlchart.v1.4">#REF!</definedName>
    <definedName localSheetId="0" name="_xlchart.v1.0">'Données '!$C$4:$D$36</definedName>
    <definedName localSheetId="0" name="_xlchart.v1.7">'Données '!$F$4:$F$36</definedName>
    <definedName localSheetId="0" name="_xlchart.v1.9">'Données '!$F$4:$F$36</definedName>
    <definedName name="_xlchart.v1.10">#REF!</definedName>
    <definedName name="_xlchart.v1.3">#REF!</definedName>
    <definedName name="_xlchart.v1.1">#REF!</definedName>
    <definedName localSheetId="0" name="_xlchart.v1.1">'Données '!$F$4:$F$36</definedName>
    <definedName localSheetId="0" name="_xlchart.v1.11">'Données '!$F$4:$F$36</definedName>
    <definedName hidden="1" localSheetId="1" name="_xlnm._FilterDatabase">Anomalies!$D$3:$H$18</definedName>
    <definedName hidden="1" localSheetId="2" name="_xlnm._FilterDatabase">'Tableau de bord'!$T$25:$X$45</definedName>
    <definedName hidden="1" localSheetId="3" name="_xlnm._FilterDatabase">'Tableau de bord 2'!$P$25:$T$45</definedName>
  </definedNames>
  <calcPr/>
</workbook>
</file>

<file path=xl/sharedStrings.xml><?xml version="1.0" encoding="utf-8"?>
<sst xmlns="http://schemas.openxmlformats.org/spreadsheetml/2006/main" count="242" uniqueCount="148">
  <si>
    <t>ID</t>
  </si>
  <si>
    <t>Priorité</t>
  </si>
  <si>
    <t>Gravité</t>
  </si>
  <si>
    <t>Titre</t>
  </si>
  <si>
    <t>Exigence liée</t>
  </si>
  <si>
    <t>PP-21</t>
  </si>
  <si>
    <t>P1</t>
  </si>
  <si>
    <t>Majeur</t>
  </si>
  <si>
    <t>Les dates de début et de fin de réservation restent disponibles après actualisation de la page</t>
  </si>
  <si>
    <t>Les dates réservées deviennent indisponibles.</t>
  </si>
  <si>
    <t>PP-46</t>
  </si>
  <si>
    <t>P2</t>
  </si>
  <si>
    <t>Le voyageur peut marquer une réservation comme payée alors que les informations bancaires de l'hôte sont absentes</t>
  </si>
  <si>
    <t>le système permet de modifier le statut de la réservation en « réservée », même si l'hôte n'a pas fourni ses coordonnées bancaires.</t>
  </si>
  <si>
    <t>Préparé</t>
  </si>
  <si>
    <t>Exécuté</t>
  </si>
  <si>
    <t>OK</t>
  </si>
  <si>
    <t>KO</t>
  </si>
  <si>
    <t>Non Testable</t>
  </si>
  <si>
    <t>Résumé</t>
  </si>
  <si>
    <t>EL-078</t>
  </si>
  <si>
    <t>Bloquant</t>
  </si>
  <si>
    <t>L'application ne charge pas sur mobile</t>
  </si>
  <si>
    <t>Fonctionnalité mobile</t>
  </si>
  <si>
    <t>EL-201</t>
  </si>
  <si>
    <t>L'application se bloque complètement lors de la connexion</t>
  </si>
  <si>
    <t>Authentification utilisateur</t>
  </si>
  <si>
    <t>EL-178</t>
  </si>
  <si>
    <t>Impossible d'effectuer une recherche sur le site</t>
  </si>
  <si>
    <t>Soumission de formulaire</t>
  </si>
  <si>
    <t>EL-123</t>
  </si>
  <si>
    <t>Impossible d'accéder à la page de connexion</t>
  </si>
  <si>
    <t>Sauvegarde des données</t>
  </si>
  <si>
    <t>EL-089</t>
  </si>
  <si>
    <t>Erreur 500 lors de la soumission du formulaire</t>
  </si>
  <si>
    <t>Performance de l'application</t>
  </si>
  <si>
    <t>EL-067</t>
  </si>
  <si>
    <t>Le panier d'achat ne fonctionne pas</t>
  </si>
  <si>
    <t>Messages d'alerte</t>
  </si>
  <si>
    <t>EL-234</t>
  </si>
  <si>
    <t>Les données ne se sauvegardent pas correctement</t>
  </si>
  <si>
    <t>Mise en page</t>
  </si>
  <si>
    <t>EL-312</t>
  </si>
  <si>
    <t>Les utilisateurs ne reçoivent pas d'e-mail de confirmation</t>
  </si>
  <si>
    <t>Design et branding</t>
  </si>
  <si>
    <t>EL-289</t>
  </si>
  <si>
    <t>Les liens de navigation sont cassés</t>
  </si>
  <si>
    <t>Interface utilisateur</t>
  </si>
  <si>
    <t>Mineur</t>
  </si>
  <si>
    <t>L'animation de chargement est trop lente</t>
  </si>
  <si>
    <t>Résponsive design</t>
  </si>
  <si>
    <t>EL-056</t>
  </si>
  <si>
    <t>Texte de l'alerte de confirmation mal formulé</t>
  </si>
  <si>
    <t>EL-334</t>
  </si>
  <si>
    <t>Les erreurs de saisie ne sont pas clairement indiquées</t>
  </si>
  <si>
    <t>Notifications par e-mail</t>
  </si>
  <si>
    <t>EL-045</t>
  </si>
  <si>
    <t>P3</t>
  </si>
  <si>
    <t>L'alignement des éléments dans le footer est incorrect</t>
  </si>
  <si>
    <t>EL-012</t>
  </si>
  <si>
    <t>Les couleurs du bouton ne respectent pas la charte graphique</t>
  </si>
  <si>
    <t>Fonctionnalité de panier</t>
  </si>
  <si>
    <t>EL-091</t>
  </si>
  <si>
    <t>L'icône de recherche ne s'affiche pas</t>
  </si>
  <si>
    <t>Validation des formulaires</t>
  </si>
  <si>
    <t>EL-102</t>
  </si>
  <si>
    <t>Les images du profil ne s'affichent pas sur certaines résolutions</t>
  </si>
  <si>
    <t>Performance des images</t>
  </si>
  <si>
    <t>EL-145</t>
  </si>
  <si>
    <t>La police de caractères sur la page d'accueil est illisible</t>
  </si>
  <si>
    <t>Fonctionnalité de recherche</t>
  </si>
  <si>
    <t>EL-456</t>
  </si>
  <si>
    <t>Les images de produit prennent trop de temps à charger</t>
  </si>
  <si>
    <t>Navigation du site</t>
  </si>
  <si>
    <t>EL-092</t>
  </si>
  <si>
    <t>Les boutons de partage sur les réseaux sociaux ne fonctionnent pas</t>
  </si>
  <si>
    <t>Intégration des réseaux sociaux</t>
  </si>
  <si>
    <t>EL-013</t>
  </si>
  <si>
    <t>La page de contact n'affiche pas le numéro de téléphone</t>
  </si>
  <si>
    <t>Informations de contact</t>
  </si>
  <si>
    <t>PERIMETRE DU PROJET</t>
  </si>
  <si>
    <t>Exigences</t>
  </si>
  <si>
    <t>Modules</t>
  </si>
  <si>
    <t>Taille</t>
  </si>
  <si>
    <t>Valide</t>
  </si>
  <si>
    <t>Testé</t>
  </si>
  <si>
    <t>Conforme</t>
  </si>
  <si>
    <t>Non Conforme</t>
  </si>
  <si>
    <t>Conf (taille)</t>
  </si>
  <si>
    <t>Non C (taille)</t>
  </si>
  <si>
    <t>Exigence</t>
  </si>
  <si>
    <t>Parent</t>
  </si>
  <si>
    <t>Conformité</t>
  </si>
  <si>
    <t>Avancement</t>
  </si>
  <si>
    <t>US-01 : Réaliser une recherche simple</t>
  </si>
  <si>
    <t>testeur 2</t>
  </si>
  <si>
    <t>Story 1</t>
  </si>
  <si>
    <t>Sprint</t>
  </si>
  <si>
    <t>US-03 : S'inscrire</t>
  </si>
  <si>
    <t>testeur 3</t>
  </si>
  <si>
    <t>Story 3</t>
  </si>
  <si>
    <t>Epic 1</t>
  </si>
  <si>
    <t>US-04 : Se connecter</t>
  </si>
  <si>
    <t>Story 4</t>
  </si>
  <si>
    <t>Epic 2</t>
  </si>
  <si>
    <t>US-05 : Devenir Hôte</t>
  </si>
  <si>
    <t>Story 5</t>
  </si>
  <si>
    <t>Epic 3</t>
  </si>
  <si>
    <t>US-06 : Créer une annonce</t>
  </si>
  <si>
    <t>Story 6</t>
  </si>
  <si>
    <t>US-07 : Faire une demande de réservation</t>
  </si>
  <si>
    <t>testeur 1</t>
  </si>
  <si>
    <t>Story 7</t>
  </si>
  <si>
    <t>US-08 : Traiter une demande de réservation</t>
  </si>
  <si>
    <t>Story 8</t>
  </si>
  <si>
    <t>US-09 : Régénérer un mot de passe</t>
  </si>
  <si>
    <t>Story 9</t>
  </si>
  <si>
    <t>AVANCEMENT DES TESTS PAR EXIGENCE</t>
  </si>
  <si>
    <t>Tests</t>
  </si>
  <si>
    <t>Défauts</t>
  </si>
  <si>
    <t>Non Exécuté</t>
  </si>
  <si>
    <t>TOTAL</t>
  </si>
  <si>
    <t>Bloquantes</t>
  </si>
  <si>
    <t>Majeures</t>
  </si>
  <si>
    <t>Mineures</t>
  </si>
  <si>
    <t>Objectif</t>
  </si>
  <si>
    <t>% OK</t>
  </si>
  <si>
    <t>% KO</t>
  </si>
  <si>
    <t>% Non Testable</t>
  </si>
  <si>
    <t>% Non Exécuté</t>
  </si>
  <si>
    <t>Validé</t>
  </si>
  <si>
    <t>Préparé %</t>
  </si>
  <si>
    <t>Exécuté %</t>
  </si>
  <si>
    <t>A exécuter %</t>
  </si>
  <si>
    <t>A préparer %</t>
  </si>
  <si>
    <t>A exécuter</t>
  </si>
  <si>
    <t>A préparer</t>
  </si>
  <si>
    <t>NB Bogues créés</t>
  </si>
  <si>
    <t>AVANCEMENT DE LA CONFORMITE GLOBALE (QUALITE)</t>
  </si>
  <si>
    <t>NB</t>
  </si>
  <si>
    <t>Pourcentage</t>
  </si>
  <si>
    <t>Toutes les exigences</t>
  </si>
  <si>
    <t>Conformes</t>
  </si>
  <si>
    <t>Non conformes</t>
  </si>
  <si>
    <t>conforme</t>
  </si>
  <si>
    <t>Non conforme</t>
  </si>
  <si>
    <t>AVANCEMENT GLOBAL DES TESTS (PROJET)</t>
  </si>
  <si>
    <t>Reste à tester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</si>
</sst>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/YYYY"/>
    <numFmt numFmtId="165" formatCode="[$-40C]d\-mmm"/>
    <numFmt numFmtId="166" formatCode="0.0"/>
  </numFmts>
  <fonts count="25">
    <font>
      <sz val="11.0"/>
      <color theme="1"/>
      <name val="Calibri"/>
      <scheme val="minor"/>
    </font>
    <font>
      <b/>
      <sz val="12.0"/>
      <color rgb="FF514B4C"/>
      <name val="&quot;Maven Pro&quot;"/>
    </font>
    <font>
      <sz val="11.0"/>
      <color rgb="FF514B4C"/>
      <name val="Maven Pro"/>
    </font>
    <font>
      <sz val="11.0"/>
      <color rgb="FFFFFFFF"/>
      <name val="Maven Pro"/>
    </font>
    <font>
      <sz val="11.0"/>
      <color rgb="FFFF9900"/>
      <name val="Maven Pro"/>
    </font>
    <font>
      <sz val="11.0"/>
      <color rgb="FF514B4C"/>
      <name val="Calibri"/>
    </font>
    <font>
      <sz val="11.0"/>
      <color theme="1"/>
      <name val="Calibri"/>
    </font>
    <font>
      <color rgb="FF514B4C"/>
      <name val="Maven Pro"/>
    </font>
    <font>
      <color rgb="FFFFFFFF"/>
      <name val="Maven Pro"/>
    </font>
    <font>
      <color rgb="FFFF9900"/>
      <name val="Maven Pro"/>
    </font>
    <font>
      <color rgb="FF4A86E8"/>
      <name val="Maven Pro"/>
    </font>
    <font>
      <color theme="1"/>
      <name val="Calibri"/>
      <scheme val="minor"/>
    </font>
    <font>
      <color rgb="FFFF0000"/>
      <name val="Maven Pro"/>
    </font>
    <font>
      <b/>
      <sz val="10.0"/>
      <color rgb="FF514B4C"/>
      <name val="&quot;Maven Pro&quot;"/>
    </font>
    <font>
      <sz val="10.0"/>
      <color rgb="FF514B4C"/>
      <name val="&quot;Maven Pro&quot;"/>
    </font>
    <font>
      <sz val="11.0"/>
      <color rgb="FF032F62"/>
      <name val="SFMono-Regular"/>
    </font>
    <font>
      <sz val="11.0"/>
      <color rgb="FF0070C0"/>
      <name val="Calibri"/>
    </font>
    <font>
      <color rgb="FF4F81BD"/>
      <name val="Calibri"/>
      <scheme val="minor"/>
    </font>
    <font>
      <sz val="11.0"/>
      <color theme="4"/>
      <name val="Calibri"/>
    </font>
    <font>
      <sz val="11.0"/>
      <color rgb="FF4F81BD"/>
      <name val="Calibri"/>
    </font>
    <font>
      <color rgb="FF4A86E8"/>
      <name val="Calibri"/>
      <scheme val="minor"/>
    </font>
    <font>
      <sz val="11.0"/>
      <color rgb="FF000000"/>
      <name val="Calibri"/>
    </font>
    <font>
      <b/>
      <sz val="11.0"/>
      <color theme="1"/>
      <name val="Calibri"/>
    </font>
    <font/>
    <font>
      <color rgb="FF000000"/>
      <name val="Calibri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  <fill>
      <patternFill patternType="solid">
        <fgColor rgb="FFE69138"/>
        <bgColor rgb="FFE69138"/>
      </patternFill>
    </fill>
    <fill>
      <patternFill patternType="solid">
        <fgColor rgb="FF45818E"/>
        <bgColor rgb="FF45818E"/>
      </patternFill>
    </fill>
    <fill>
      <patternFill patternType="solid">
        <fgColor rgb="FFD8D8D8"/>
        <bgColor rgb="FFD8D8D8"/>
      </patternFill>
    </fill>
    <fill>
      <patternFill patternType="solid">
        <fgColor rgb="FFFFC000"/>
        <bgColor rgb="FFFFC000"/>
      </patternFill>
    </fill>
    <fill>
      <patternFill patternType="solid">
        <fgColor rgb="FFFF00FF"/>
        <bgColor rgb="FFFF00FF"/>
      </patternFill>
    </fill>
    <fill>
      <patternFill patternType="solid">
        <fgColor rgb="FFD9D9D9"/>
        <bgColor rgb="FFD9D9D9"/>
      </patternFill>
    </fill>
    <fill>
      <patternFill patternType="solid">
        <fgColor rgb="FF00FFFF"/>
        <bgColor rgb="FF00FFFF"/>
      </patternFill>
    </fill>
    <fill>
      <patternFill patternType="solid">
        <fgColor rgb="FFCCCCCC"/>
        <bgColor rgb="FFCCCCCC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  <fill>
      <patternFill patternType="solid">
        <fgColor rgb="FFD6E3BC"/>
        <bgColor rgb="FFD6E3BC"/>
      </patternFill>
    </fill>
    <fill>
      <patternFill patternType="solid">
        <fgColor rgb="FFE5B8B7"/>
        <bgColor rgb="FFE5B8B7"/>
      </patternFill>
    </fill>
    <fill>
      <patternFill patternType="solid">
        <fgColor rgb="FFB8CCE4"/>
        <bgColor rgb="FFB8CCE4"/>
      </patternFill>
    </fill>
    <fill>
      <patternFill patternType="solid">
        <fgColor rgb="FFCCC0D9"/>
        <bgColor rgb="FFCCC0D9"/>
      </patternFill>
    </fill>
    <fill>
      <patternFill patternType="solid">
        <fgColor rgb="FF00B050"/>
        <bgColor rgb="FF00B050"/>
      </patternFill>
    </fill>
    <fill>
      <patternFill patternType="solid">
        <fgColor rgb="FFDBE5F1"/>
        <bgColor rgb="FFDBE5F1"/>
      </patternFill>
    </fill>
    <fill>
      <patternFill patternType="solid">
        <fgColor rgb="FFC4BD97"/>
        <bgColor rgb="FFC4BD97"/>
      </patternFill>
    </fill>
  </fills>
  <borders count="28">
    <border/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bottom/>
    </border>
    <border>
      <left style="thin">
        <color rgb="FF000000"/>
      </left>
      <right/>
      <bottom/>
    </border>
    <border>
      <left style="thin">
        <color rgb="FF000000"/>
      </left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12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vertical="bottom"/>
    </xf>
    <xf borderId="0" fillId="3" fontId="3" numFmtId="0" xfId="0" applyAlignment="1" applyFill="1" applyFont="1">
      <alignment horizontal="center" vertical="bottom"/>
    </xf>
    <xf borderId="0" fillId="2" fontId="4" numFmtId="0" xfId="0" applyAlignment="1" applyFont="1">
      <alignment horizontal="center" vertical="bottom"/>
    </xf>
    <xf borderId="0" fillId="2" fontId="5" numFmtId="0" xfId="0" applyAlignment="1" applyFont="1">
      <alignment shrinkToFit="0" vertical="bottom" wrapText="1"/>
    </xf>
    <xf borderId="1" fillId="0" fontId="6" numFmtId="0" xfId="0" applyAlignment="1" applyBorder="1" applyFont="1">
      <alignment horizontal="center" shrinkToFit="0" wrapText="1"/>
    </xf>
    <xf borderId="0" fillId="4" fontId="3" numFmtId="0" xfId="0" applyAlignment="1" applyFill="1" applyFont="1">
      <alignment horizontal="center" vertical="bottom"/>
    </xf>
    <xf borderId="0" fillId="2" fontId="6" numFmtId="0" xfId="0" applyAlignment="1" applyFont="1">
      <alignment shrinkToFit="0" vertical="bottom" wrapText="1"/>
    </xf>
    <xf borderId="0" fillId="2" fontId="7" numFmtId="0" xfId="0" applyAlignment="1" applyFont="1">
      <alignment vertical="bottom"/>
    </xf>
    <xf borderId="0" fillId="4" fontId="8" numFmtId="0" xfId="0" applyAlignment="1" applyFont="1">
      <alignment horizontal="center" vertical="bottom"/>
    </xf>
    <xf borderId="0" fillId="2" fontId="9" numFmtId="0" xfId="0" applyAlignment="1" applyFont="1">
      <alignment horizontal="center" vertical="bottom"/>
    </xf>
    <xf borderId="0" fillId="2" fontId="10" numFmtId="0" xfId="0" applyAlignment="1" applyFont="1">
      <alignment horizontal="center" vertical="bottom"/>
    </xf>
    <xf borderId="0" fillId="5" fontId="8" numFmtId="0" xfId="0" applyAlignment="1" applyFill="1" applyFont="1">
      <alignment horizontal="center" vertical="bottom"/>
    </xf>
    <xf borderId="0" fillId="0" fontId="6" numFmtId="164" xfId="0" applyFont="1" applyNumberFormat="1"/>
    <xf borderId="0" fillId="0" fontId="11" numFmtId="0" xfId="0" applyFont="1"/>
    <xf borderId="2" fillId="0" fontId="6" numFmtId="0" xfId="0" applyAlignment="1" applyBorder="1" applyFont="1">
      <alignment horizontal="center"/>
    </xf>
    <xf borderId="0" fillId="0" fontId="6" numFmtId="0" xfId="0" applyFont="1"/>
    <xf borderId="0" fillId="0" fontId="6" numFmtId="165" xfId="0" applyFont="1" applyNumberFormat="1"/>
    <xf borderId="3" fillId="6" fontId="6" numFmtId="9" xfId="0" applyBorder="1" applyFill="1" applyFont="1" applyNumberFormat="1"/>
    <xf borderId="3" fillId="6" fontId="6" numFmtId="0" xfId="0" applyBorder="1" applyFont="1"/>
    <xf borderId="0" fillId="0" fontId="11" numFmtId="0" xfId="0" applyAlignment="1" applyFont="1">
      <alignment horizontal="center"/>
    </xf>
    <xf borderId="0" fillId="3" fontId="8" numFmtId="0" xfId="0" applyAlignment="1" applyFont="1">
      <alignment horizontal="center" vertical="bottom"/>
    </xf>
    <xf borderId="0" fillId="2" fontId="12" numFmtId="0" xfId="0" applyAlignment="1" applyFont="1">
      <alignment horizontal="center" vertical="bottom"/>
    </xf>
    <xf borderId="0" fillId="2" fontId="13" numFmtId="0" xfId="0" applyAlignment="1" applyFont="1">
      <alignment horizontal="center" readingOrder="0"/>
    </xf>
    <xf borderId="0" fillId="2" fontId="14" numFmtId="0" xfId="0" applyAlignment="1" applyFont="1">
      <alignment readingOrder="0"/>
    </xf>
    <xf borderId="0" fillId="2" fontId="14" numFmtId="0" xfId="0" applyAlignment="1" applyFont="1">
      <alignment horizontal="center" readingOrder="0"/>
    </xf>
    <xf borderId="3" fillId="7" fontId="6" numFmtId="0" xfId="0" applyAlignment="1" applyBorder="1" applyFill="1" applyFont="1">
      <alignment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horizontal="center" vertical="center"/>
    </xf>
    <xf borderId="4" fillId="0" fontId="6" numFmtId="0" xfId="0" applyAlignment="1" applyBorder="1" applyFont="1">
      <alignment horizontal="center" vertical="center"/>
    </xf>
    <xf borderId="5" fillId="0" fontId="6" numFmtId="0" xfId="0" applyAlignment="1" applyBorder="1" applyFont="1">
      <alignment horizontal="center" vertical="center"/>
    </xf>
    <xf borderId="0" fillId="0" fontId="11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 vertical="center"/>
    </xf>
    <xf borderId="0" fillId="0" fontId="6" numFmtId="9" xfId="0" applyFont="1" applyNumberFormat="1"/>
    <xf borderId="0" fillId="8" fontId="15" numFmtId="0" xfId="0" applyAlignment="1" applyFill="1" applyFont="1">
      <alignment shrinkToFit="0" vertical="bottom" wrapText="1"/>
    </xf>
    <xf borderId="0" fillId="0" fontId="6" numFmtId="0" xfId="0" applyAlignment="1" applyFont="1">
      <alignment vertical="bottom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horizontal="center" vertical="center"/>
    </xf>
    <xf borderId="3" fillId="6" fontId="6" numFmtId="0" xfId="0" applyAlignment="1" applyBorder="1" applyFont="1">
      <alignment horizontal="center" vertical="center"/>
    </xf>
    <xf borderId="3" fillId="6" fontId="6" numFmtId="9" xfId="0" applyAlignment="1" applyBorder="1" applyFont="1" applyNumberFormat="1">
      <alignment horizontal="center" vertical="center"/>
    </xf>
    <xf borderId="6" fillId="6" fontId="6" numFmtId="9" xfId="0" applyAlignment="1" applyBorder="1" applyFont="1" applyNumberFormat="1">
      <alignment horizontal="center" vertical="center"/>
    </xf>
    <xf borderId="7" fillId="6" fontId="6" numFmtId="9" xfId="0" applyAlignment="1" applyBorder="1" applyFont="1" applyNumberFormat="1">
      <alignment horizontal="center" vertical="center"/>
    </xf>
    <xf borderId="0" fillId="9" fontId="11" numFmtId="0" xfId="0" applyFill="1" applyFont="1"/>
    <xf borderId="0" fillId="9" fontId="11" numFmtId="0" xfId="0" applyAlignment="1" applyFont="1">
      <alignment horizontal="center"/>
    </xf>
    <xf borderId="0" fillId="10" fontId="15" numFmtId="0" xfId="0" applyAlignment="1" applyFill="1" applyFont="1">
      <alignment shrinkToFit="0" vertical="bottom" wrapText="1"/>
    </xf>
    <xf borderId="0" fillId="0" fontId="19" numFmtId="0" xfId="0" applyAlignment="1" applyFont="1">
      <alignment horizontal="center" readingOrder="0" vertical="center"/>
    </xf>
    <xf borderId="0" fillId="0" fontId="20" numFmtId="0" xfId="0" applyAlignment="1" applyFont="1">
      <alignment readingOrder="0"/>
    </xf>
    <xf borderId="0" fillId="0" fontId="11" numFmtId="0" xfId="0" applyAlignment="1" applyFont="1">
      <alignment readingOrder="0"/>
    </xf>
    <xf borderId="0" fillId="11" fontId="6" numFmtId="0" xfId="0" applyAlignment="1" applyFill="1" applyFont="1">
      <alignment horizontal="center" readingOrder="0"/>
    </xf>
    <xf borderId="0" fillId="11" fontId="11" numFmtId="0" xfId="0" applyAlignment="1" applyFont="1">
      <alignment horizontal="center"/>
    </xf>
    <xf borderId="0" fillId="12" fontId="15" numFmtId="0" xfId="0" applyAlignment="1" applyFill="1" applyFont="1">
      <alignment shrinkToFit="0" vertical="bottom" wrapText="1"/>
    </xf>
    <xf borderId="3" fillId="6" fontId="6" numFmtId="0" xfId="0" applyAlignment="1" applyBorder="1" applyFont="1">
      <alignment horizontal="center" readingOrder="0" vertical="center"/>
    </xf>
    <xf borderId="3" fillId="6" fontId="6" numFmtId="9" xfId="0" applyAlignment="1" applyBorder="1" applyFont="1" applyNumberFormat="1">
      <alignment horizontal="center" readingOrder="0" vertical="center"/>
    </xf>
    <xf borderId="0" fillId="0" fontId="21" numFmtId="0" xfId="0" applyAlignment="1" applyFont="1">
      <alignment readingOrder="0"/>
    </xf>
    <xf borderId="0" fillId="0" fontId="11" numFmtId="9" xfId="0" applyAlignment="1" applyFont="1" applyNumberFormat="1">
      <alignment horizontal="center"/>
    </xf>
    <xf borderId="0" fillId="0" fontId="16" numFmtId="0" xfId="0" applyFont="1"/>
    <xf borderId="0" fillId="0" fontId="22" numFmtId="166" xfId="0" applyAlignment="1" applyFont="1" applyNumberFormat="1">
      <alignment horizontal="center" vertical="center"/>
    </xf>
    <xf borderId="0" fillId="0" fontId="22" numFmtId="0" xfId="0" applyAlignment="1" applyFont="1">
      <alignment horizontal="left" vertical="center"/>
    </xf>
    <xf borderId="0" fillId="0" fontId="22" numFmtId="1" xfId="0" applyAlignment="1" applyFont="1" applyNumberFormat="1">
      <alignment horizontal="center" vertical="center"/>
    </xf>
    <xf borderId="2" fillId="0" fontId="22" numFmtId="9" xfId="0" applyAlignment="1" applyBorder="1" applyFont="1" applyNumberFormat="1">
      <alignment horizontal="center" vertical="center"/>
    </xf>
    <xf borderId="0" fillId="0" fontId="22" numFmtId="9" xfId="0" applyAlignment="1" applyFont="1" applyNumberFormat="1">
      <alignment horizontal="center" vertical="center"/>
    </xf>
    <xf borderId="8" fillId="0" fontId="22" numFmtId="9" xfId="0" applyAlignment="1" applyBorder="1" applyFont="1" applyNumberFormat="1">
      <alignment horizontal="center" vertical="center"/>
    </xf>
    <xf borderId="9" fillId="0" fontId="22" numFmtId="9" xfId="0" applyAlignment="1" applyBorder="1" applyFont="1" applyNumberFormat="1">
      <alignment horizontal="center" vertical="center"/>
    </xf>
    <xf borderId="10" fillId="7" fontId="6" numFmtId="0" xfId="0" applyAlignment="1" applyBorder="1" applyFont="1">
      <alignment horizontal="left"/>
    </xf>
    <xf borderId="11" fillId="0" fontId="23" numFmtId="0" xfId="0" applyBorder="1" applyFont="1"/>
    <xf borderId="12" fillId="0" fontId="23" numFmtId="0" xfId="0" applyBorder="1" applyFont="1"/>
    <xf borderId="13" fillId="0" fontId="6" numFmtId="0" xfId="0" applyAlignment="1" applyBorder="1" applyFont="1">
      <alignment horizontal="center" vertical="center"/>
    </xf>
    <xf borderId="14" fillId="0" fontId="23" numFmtId="0" xfId="0" applyBorder="1" applyFont="1"/>
    <xf borderId="15" fillId="0" fontId="23" numFmtId="0" xfId="0" applyBorder="1" applyFont="1"/>
    <xf borderId="16" fillId="0" fontId="6" numFmtId="0" xfId="0" applyAlignment="1" applyBorder="1" applyFont="1">
      <alignment horizontal="center" vertical="center"/>
    </xf>
    <xf borderId="1" fillId="0" fontId="6" numFmtId="0" xfId="0" applyAlignment="1" applyBorder="1" applyFont="1">
      <alignment horizontal="center" vertical="center"/>
    </xf>
    <xf borderId="17" fillId="13" fontId="6" numFmtId="0" xfId="0" applyAlignment="1" applyBorder="1" applyFill="1" applyFont="1">
      <alignment horizontal="center" vertical="center"/>
    </xf>
    <xf borderId="3" fillId="14" fontId="6" numFmtId="0" xfId="0" applyAlignment="1" applyBorder="1" applyFill="1" applyFont="1">
      <alignment horizontal="center" vertical="center"/>
    </xf>
    <xf borderId="3" fillId="15" fontId="6" numFmtId="0" xfId="0" applyAlignment="1" applyBorder="1" applyFill="1" applyFont="1">
      <alignment horizontal="center" vertical="center"/>
    </xf>
    <xf borderId="3" fillId="16" fontId="6" numFmtId="0" xfId="0" applyAlignment="1" applyBorder="1" applyFill="1" applyFont="1">
      <alignment horizontal="center" vertical="center"/>
    </xf>
    <xf borderId="13" fillId="0" fontId="11" numFmtId="0" xfId="0" applyBorder="1" applyFont="1"/>
    <xf borderId="14" fillId="0" fontId="16" numFmtId="1" xfId="0" applyAlignment="1" applyBorder="1" applyFont="1" applyNumberFormat="1">
      <alignment horizontal="center" vertical="center"/>
    </xf>
    <xf borderId="13" fillId="0" fontId="16" numFmtId="1" xfId="0" applyAlignment="1" applyBorder="1" applyFont="1" applyNumberFormat="1">
      <alignment horizontal="center" readingOrder="0"/>
    </xf>
    <xf borderId="14" fillId="0" fontId="16" numFmtId="0" xfId="0" applyAlignment="1" applyBorder="1" applyFont="1">
      <alignment horizontal="center" readingOrder="0"/>
    </xf>
    <xf borderId="14" fillId="0" fontId="6" numFmtId="0" xfId="0" applyAlignment="1" applyBorder="1" applyFont="1">
      <alignment readingOrder="0"/>
    </xf>
    <xf borderId="18" fillId="6" fontId="6" numFmtId="1" xfId="0" applyAlignment="1" applyBorder="1" applyFont="1" applyNumberFormat="1">
      <alignment horizontal="center" readingOrder="0" vertical="center"/>
    </xf>
    <xf borderId="19" fillId="6" fontId="6" numFmtId="0" xfId="0" applyAlignment="1" applyBorder="1" applyFont="1">
      <alignment horizontal="center" readingOrder="0" vertical="center"/>
    </xf>
    <xf borderId="15" fillId="0" fontId="16" numFmtId="0" xfId="0" applyAlignment="1" applyBorder="1" applyFont="1">
      <alignment horizontal="center" readingOrder="0"/>
    </xf>
    <xf borderId="2" fillId="0" fontId="16" numFmtId="9" xfId="0" applyAlignment="1" applyBorder="1" applyFont="1" applyNumberFormat="1">
      <alignment horizontal="center" vertical="center"/>
    </xf>
    <xf borderId="12" fillId="6" fontId="6" numFmtId="9" xfId="0" applyAlignment="1" applyBorder="1" applyFont="1" applyNumberFormat="1">
      <alignment horizontal="center" vertical="center"/>
    </xf>
    <xf borderId="3" fillId="6" fontId="6" numFmtId="1" xfId="0" applyBorder="1" applyFont="1" applyNumberFormat="1"/>
    <xf borderId="3" fillId="6" fontId="22" numFmtId="0" xfId="0" applyAlignment="1" applyBorder="1" applyFont="1">
      <alignment horizontal="center" vertical="center"/>
    </xf>
    <xf borderId="0" fillId="0" fontId="16" numFmtId="1" xfId="0" applyAlignment="1" applyFont="1" applyNumberFormat="1">
      <alignment horizontal="center" vertical="center"/>
    </xf>
    <xf borderId="16" fillId="0" fontId="16" numFmtId="1" xfId="0" applyAlignment="1" applyBorder="1" applyFont="1" applyNumberFormat="1">
      <alignment horizontal="center" readingOrder="0"/>
    </xf>
    <xf borderId="0" fillId="0" fontId="16" numFmtId="0" xfId="0" applyAlignment="1" applyFont="1">
      <alignment horizontal="center"/>
    </xf>
    <xf borderId="0" fillId="0" fontId="6" numFmtId="0" xfId="0" applyFont="1"/>
    <xf borderId="20" fillId="6" fontId="6" numFmtId="1" xfId="0" applyAlignment="1" applyBorder="1" applyFont="1" applyNumberFormat="1">
      <alignment horizontal="center" vertical="center"/>
    </xf>
    <xf borderId="21" fillId="6" fontId="6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/>
    </xf>
    <xf borderId="22" fillId="0" fontId="16" numFmtId="9" xfId="0" applyAlignment="1" applyBorder="1" applyFont="1" applyNumberFormat="1">
      <alignment horizontal="center" vertical="center"/>
    </xf>
    <xf borderId="7" fillId="6" fontId="6" numFmtId="1" xfId="0" applyAlignment="1" applyBorder="1" applyFont="1" applyNumberFormat="1">
      <alignment horizontal="center" vertical="center"/>
    </xf>
    <xf borderId="6" fillId="6" fontId="6" numFmtId="0" xfId="0" applyAlignment="1" applyBorder="1" applyFont="1">
      <alignment horizontal="center" vertical="center"/>
    </xf>
    <xf borderId="1" fillId="0" fontId="6" numFmtId="0" xfId="0" applyBorder="1" applyFont="1"/>
    <xf borderId="0" fillId="0" fontId="16" numFmtId="0" xfId="0" applyAlignment="1" applyFont="1">
      <alignment horizontal="center" readingOrder="0"/>
    </xf>
    <xf borderId="1" fillId="0" fontId="6" numFmtId="0" xfId="0" applyAlignment="1" applyBorder="1" applyFont="1">
      <alignment readingOrder="0"/>
    </xf>
    <xf borderId="0" fillId="0" fontId="16" numFmtId="0" xfId="0" applyAlignment="1" applyFont="1">
      <alignment horizontal="center" readingOrder="0" vertical="center"/>
    </xf>
    <xf borderId="16" fillId="0" fontId="16" numFmtId="1" xfId="0" applyAlignment="1" applyBorder="1" applyFont="1" applyNumberFormat="1">
      <alignment horizontal="center" readingOrder="0" vertical="center"/>
    </xf>
    <xf borderId="0" fillId="0" fontId="16" numFmtId="0" xfId="0" applyAlignment="1" applyFont="1">
      <alignment horizontal="center" vertical="center"/>
    </xf>
    <xf borderId="1" fillId="0" fontId="16" numFmtId="0" xfId="0" applyAlignment="1" applyBorder="1" applyFont="1">
      <alignment horizontal="center" vertical="center"/>
    </xf>
    <xf borderId="22" fillId="0" fontId="16" numFmtId="9" xfId="0" applyAlignment="1" applyBorder="1" applyFont="1" applyNumberFormat="1">
      <alignment horizontal="center" readingOrder="0" vertical="center"/>
    </xf>
    <xf borderId="16" fillId="0" fontId="16" numFmtId="1" xfId="0" applyAlignment="1" applyBorder="1" applyFont="1" applyNumberFormat="1">
      <alignment horizontal="center" vertical="center"/>
    </xf>
    <xf borderId="8" fillId="0" fontId="22" numFmtId="1" xfId="0" applyAlignment="1" applyBorder="1" applyFont="1" applyNumberFormat="1">
      <alignment horizontal="center" vertical="center"/>
    </xf>
    <xf borderId="23" fillId="0" fontId="22" numFmtId="1" xfId="0" applyAlignment="1" applyBorder="1" applyFont="1" applyNumberFormat="1">
      <alignment horizontal="center" vertical="center"/>
    </xf>
    <xf borderId="9" fillId="0" fontId="22" numFmtId="1" xfId="0" applyAlignment="1" applyBorder="1" applyFont="1" applyNumberFormat="1">
      <alignment horizontal="center" vertical="center"/>
    </xf>
    <xf borderId="8" fillId="0" fontId="22" numFmtId="0" xfId="0" applyAlignment="1" applyBorder="1" applyFont="1">
      <alignment horizontal="center" vertical="center"/>
    </xf>
    <xf borderId="24" fillId="0" fontId="22" numFmtId="9" xfId="0" applyAlignment="1" applyBorder="1" applyFont="1" applyNumberFormat="1">
      <alignment horizontal="center" vertical="center"/>
    </xf>
    <xf borderId="0" fillId="0" fontId="22" numFmtId="0" xfId="0" applyAlignment="1" applyFont="1">
      <alignment horizontal="center" vertical="center"/>
    </xf>
    <xf borderId="0" fillId="6" fontId="6" numFmtId="0" xfId="0" applyFont="1"/>
    <xf borderId="3" fillId="6" fontId="6" numFmtId="0" xfId="0" applyAlignment="1" applyBorder="1" applyFont="1">
      <alignment readingOrder="0"/>
    </xf>
    <xf borderId="0" fillId="0" fontId="24" numFmtId="0" xfId="0" applyAlignment="1" applyFont="1">
      <alignment readingOrder="0"/>
    </xf>
    <xf borderId="0" fillId="0" fontId="11" numFmtId="9" xfId="0" applyFont="1" applyNumberFormat="1"/>
    <xf borderId="6" fillId="17" fontId="6" numFmtId="0" xfId="0" applyAlignment="1" applyBorder="1" applyFill="1" applyFont="1">
      <alignment readingOrder="0"/>
    </xf>
    <xf borderId="25" fillId="17" fontId="6" numFmtId="9" xfId="0" applyAlignment="1" applyBorder="1" applyFont="1" applyNumberFormat="1">
      <alignment horizontal="center" vertical="center"/>
    </xf>
    <xf borderId="4" fillId="0" fontId="6" numFmtId="0" xfId="0" applyBorder="1" applyFont="1"/>
    <xf borderId="26" fillId="18" fontId="6" numFmtId="9" xfId="0" applyAlignment="1" applyBorder="1" applyFill="1" applyFont="1" applyNumberFormat="1">
      <alignment horizontal="center" vertical="center"/>
    </xf>
    <xf borderId="16" fillId="0" fontId="6" numFmtId="0" xfId="0" applyAlignment="1" applyBorder="1" applyFont="1">
      <alignment readingOrder="0"/>
    </xf>
    <xf borderId="25" fillId="19" fontId="6" numFmtId="9" xfId="0" applyAlignment="1" applyBorder="1" applyFill="1" applyFont="1" applyNumberFormat="1">
      <alignment horizontal="center" vertical="center"/>
    </xf>
    <xf borderId="8" fillId="0" fontId="6" numFmtId="0" xfId="0" applyAlignment="1" applyBorder="1" applyFont="1">
      <alignment readingOrder="0"/>
    </xf>
    <xf borderId="27" fillId="20" fontId="6" numFmtId="9" xfId="0" applyAlignment="1" applyBorder="1" applyFill="1" applyFont="1" applyNumberFormat="1">
      <alignment horizontal="center" vertical="center"/>
    </xf>
  </cellXfs>
  <cellStyles count="1">
    <cellStyle xfId="0" name="Normal" builtinId="0"/>
  </cellStyles>
  <dxfs count="8">
    <dxf>
      <font>
        <color rgb="FFFFFFFF"/>
      </font>
      <fill>
        <patternFill patternType="solid">
          <fgColor rgb="FFCC0000"/>
          <bgColor rgb="FFCC0000"/>
        </patternFill>
      </fill>
      <border/>
    </dxf>
    <dxf>
      <font>
        <color rgb="FFFFFFFF"/>
      </font>
      <fill>
        <patternFill patternType="solid">
          <fgColor rgb="FFE69138"/>
          <bgColor rgb="FFE69138"/>
        </patternFill>
      </fill>
      <border/>
    </dxf>
    <dxf>
      <font>
        <color rgb="FFFFFFFF"/>
      </font>
      <fill>
        <patternFill patternType="solid">
          <fgColor rgb="FF45818E"/>
          <bgColor rgb="FF45818E"/>
        </patternFill>
      </fill>
      <border/>
    </dxf>
    <dxf>
      <font>
        <color rgb="FFFF0000"/>
      </font>
      <fill>
        <patternFill patternType="none"/>
      </fill>
      <border/>
    </dxf>
    <dxf>
      <font>
        <color rgb="FFFF9900"/>
      </font>
      <fill>
        <patternFill patternType="none"/>
      </fill>
      <border/>
    </dxf>
    <dxf>
      <font>
        <color rgb="FF4A86E8"/>
      </font>
      <fill>
        <patternFill patternType="none"/>
      </fill>
      <border/>
    </dxf>
    <dxf>
      <font>
        <color theme="0"/>
      </font>
      <fill>
        <patternFill patternType="none"/>
      </fill>
      <border/>
    </dxf>
    <dxf>
      <font/>
      <fill>
        <patternFill patternType="solid">
          <fgColor rgb="FF00B050"/>
          <bgColor rgb="FF00B05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percentStacked"/>
        <c:ser>
          <c:idx val="0"/>
          <c:order val="0"/>
          <c:tx>
            <c:strRef>
              <c:f>'Données '!$P$64</c:f>
            </c:strRef>
          </c:tx>
          <c:spPr>
            <a:solidFill>
              <a:srgbClr val="00B05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'!$P$65:$P$72</c:f>
              <c:numCache/>
            </c:numRef>
          </c:val>
        </c:ser>
        <c:ser>
          <c:idx val="1"/>
          <c:order val="1"/>
          <c:tx>
            <c:strRef>
              <c:f>'Données '!$Q$64</c:f>
            </c:strRef>
          </c:tx>
          <c:spPr>
            <a:solidFill>
              <a:srgbClr val="DD7E6B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'!$Q$65:$Q$72</c:f>
              <c:numCache/>
            </c:numRef>
          </c:val>
        </c:ser>
        <c:ser>
          <c:idx val="2"/>
          <c:order val="2"/>
          <c:tx>
            <c:strRef>
              <c:f>'Données '!$R$64</c:f>
            </c:strRef>
          </c:tx>
          <c:spPr>
            <a:solidFill>
              <a:srgbClr val="B7B7B7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'!$R$65:$R$72</c:f>
              <c:numCache/>
            </c:numRef>
          </c:val>
        </c:ser>
        <c:ser>
          <c:idx val="3"/>
          <c:order val="3"/>
          <c:tx>
            <c:strRef>
              <c:f>'Données '!$S$64</c:f>
            </c:strRef>
          </c:tx>
          <c:spPr>
            <a:solidFill>
              <a:srgbClr val="F3F3F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'!$S$65:$S$72</c:f>
              <c:numCache/>
            </c:numRef>
          </c:val>
        </c:ser>
        <c:overlap val="100"/>
        <c:axId val="1400226876"/>
        <c:axId val="848835066"/>
      </c:barChart>
      <c:lineChart>
        <c:varyColors val="0"/>
        <c:ser>
          <c:idx val="4"/>
          <c:order val="4"/>
          <c:tx>
            <c:strRef>
              <c:f>'Données '!$O$64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'!$O$65:$O$72</c:f>
              <c:numCache/>
            </c:numRef>
          </c:val>
          <c:smooth val="0"/>
        </c:ser>
        <c:axId val="1400226876"/>
        <c:axId val="848835066"/>
      </c:lineChart>
      <c:catAx>
        <c:axId val="14002268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848835066"/>
      </c:catAx>
      <c:valAx>
        <c:axId val="8488350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022687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'Données '!$L$64</c:f>
            </c:strRef>
          </c:tx>
          <c:spPr>
            <a:solidFill>
              <a:srgbClr val="FF00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'!$L$65:$L$72</c:f>
              <c:numCache/>
            </c:numRef>
          </c:val>
        </c:ser>
        <c:ser>
          <c:idx val="1"/>
          <c:order val="1"/>
          <c:tx>
            <c:strRef>
              <c:f>'Données '!$M$64</c:f>
            </c:strRef>
          </c:tx>
          <c:spPr>
            <a:solidFill>
              <a:srgbClr val="FF99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'!$M$65:$M$72</c:f>
              <c:numCache/>
            </c:numRef>
          </c:val>
        </c:ser>
        <c:ser>
          <c:idx val="2"/>
          <c:order val="2"/>
          <c:tx>
            <c:strRef>
              <c:f>'Données '!$N$64</c:f>
            </c:strRef>
          </c:tx>
          <c:spPr>
            <a:solidFill>
              <a:srgbClr val="9FC5E8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'!$N$65:$N$72</c:f>
              <c:numCache/>
            </c:numRef>
          </c:val>
        </c:ser>
        <c:axId val="932336388"/>
        <c:axId val="1672354592"/>
      </c:barChart>
      <c:catAx>
        <c:axId val="932336388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1" sz="1200">
                <a:solidFill>
                  <a:srgbClr val="000000"/>
                </a:solidFill>
                <a:latin typeface="+mn-lt"/>
              </a:defRPr>
            </a:pPr>
          </a:p>
        </c:txPr>
        <c:crossAx val="1672354592"/>
      </c:catAx>
      <c:valAx>
        <c:axId val="1672354592"/>
        <c:scaling>
          <c:orientation val="minMax"/>
          <c:max val="10.0"/>
        </c:scaling>
        <c:delete val="0"/>
        <c:axPos val="r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2336388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Conformité globale</a:t>
            </a:r>
          </a:p>
        </c:rich>
      </c:tx>
      <c:overlay val="0"/>
    </c:title>
    <c:plotArea>
      <c:layout/>
      <c:barChart>
        <c:barDir val="col"/>
        <c:grouping val="percentStacked"/>
        <c:ser>
          <c:idx val="0"/>
          <c:order val="0"/>
          <c:tx>
            <c:strRef>
              <c:f>'Données '!$E$152</c:f>
            </c:strRef>
          </c:tx>
          <c:spPr>
            <a:solidFill>
              <a:srgbClr val="00B05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'!$D$153:$D$154</c:f>
            </c:strRef>
          </c:cat>
          <c:val>
            <c:numRef>
              <c:f>'Données '!$E$153:$E$154</c:f>
              <c:numCache/>
            </c:numRef>
          </c:val>
        </c:ser>
        <c:ser>
          <c:idx val="1"/>
          <c:order val="1"/>
          <c:tx>
            <c:strRef>
              <c:f>'Données '!$F$152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'Données '!$D$153:$D$154</c:f>
            </c:strRef>
          </c:cat>
          <c:val>
            <c:numRef>
              <c:f>'Données '!$F$153:$F$154</c:f>
              <c:numCache/>
            </c:numRef>
          </c:val>
        </c:ser>
        <c:overlap val="100"/>
        <c:axId val="919681521"/>
        <c:axId val="195647639"/>
      </c:barChart>
      <c:catAx>
        <c:axId val="9196815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647639"/>
      </c:catAx>
      <c:valAx>
        <c:axId val="19564763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96815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grouping val="percentStacked"/>
        <c:ser>
          <c:idx val="0"/>
          <c:order val="0"/>
          <c:tx>
            <c:strRef>
              <c:f>'Données '!$D$165</c:f>
            </c:strRef>
          </c:tx>
          <c:spPr>
            <a:solidFill>
              <a:schemeClr val="accent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'Données '!$E$165:$F$165</c:f>
              <c:numCache/>
            </c:numRef>
          </c:val>
        </c:ser>
        <c:ser>
          <c:idx val="1"/>
          <c:order val="1"/>
          <c:tx>
            <c:strRef>
              <c:f>'Données '!$D$166</c:f>
            </c:strRef>
          </c:tx>
          <c:spPr>
            <a:solidFill>
              <a:schemeClr val="accent2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'Données '!$E$166:$F$166</c:f>
              <c:numCache/>
            </c:numRef>
          </c:val>
        </c:ser>
        <c:ser>
          <c:idx val="2"/>
          <c:order val="2"/>
          <c:tx>
            <c:strRef>
              <c:f>'Données '!$D$167</c:f>
            </c:strRef>
          </c:tx>
          <c:spPr>
            <a:solidFill>
              <a:srgbClr val="F3F3F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'Données '!$E$167:$F$167</c:f>
              <c:numCache/>
            </c:numRef>
          </c:val>
        </c:ser>
        <c:overlap val="100"/>
        <c:axId val="1576958034"/>
        <c:axId val="450654264"/>
      </c:barChart>
      <c:catAx>
        <c:axId val="157695803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50654264"/>
      </c:catAx>
      <c:valAx>
        <c:axId val="45065426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695803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Conformité globale</a:t>
            </a:r>
          </a:p>
        </c:rich>
      </c:tx>
      <c:overlay val="0"/>
    </c:title>
    <c:plotArea>
      <c:layout/>
      <c:barChart>
        <c:barDir val="col"/>
        <c:grouping val="percentStacked"/>
        <c:ser>
          <c:idx val="0"/>
          <c:order val="0"/>
          <c:tx>
            <c:strRef>
              <c:f>'Données '!$E$152</c:f>
            </c:strRef>
          </c:tx>
          <c:spPr>
            <a:solidFill>
              <a:srgbClr val="00FF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'!$D$153:$D$154</c:f>
            </c:strRef>
          </c:cat>
          <c:val>
            <c:numRef>
              <c:f>'Données '!$E$153:$E$154</c:f>
              <c:numCache/>
            </c:numRef>
          </c:val>
        </c:ser>
        <c:ser>
          <c:idx val="1"/>
          <c:order val="1"/>
          <c:tx>
            <c:strRef>
              <c:f>'Données '!$F$152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'Données '!$D$153:$D$154</c:f>
            </c:strRef>
          </c:cat>
          <c:val>
            <c:numRef>
              <c:f>'Données '!$F$153:$F$154</c:f>
              <c:numCache/>
            </c:numRef>
          </c:val>
        </c:ser>
        <c:overlap val="100"/>
        <c:axId val="587485547"/>
        <c:axId val="369758814"/>
      </c:barChart>
      <c:catAx>
        <c:axId val="5874855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9758814"/>
      </c:catAx>
      <c:valAx>
        <c:axId val="36975881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874855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grouping val="percentStacked"/>
        <c:ser>
          <c:idx val="0"/>
          <c:order val="0"/>
          <c:tx>
            <c:strRef>
              <c:f>'Données '!$D$165</c:f>
            </c:strRef>
          </c:tx>
          <c:spPr>
            <a:solidFill>
              <a:srgbClr val="00B05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'Données '!$E$165:$F$165</c:f>
              <c:numCache/>
            </c:numRef>
          </c:val>
        </c:ser>
        <c:ser>
          <c:idx val="1"/>
          <c:order val="1"/>
          <c:tx>
            <c:strRef>
              <c:f>'Données '!$D$166</c:f>
            </c:strRef>
          </c:tx>
          <c:spPr>
            <a:solidFill>
              <a:schemeClr val="accent2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'Données '!$E$166:$F$166</c:f>
              <c:numCache/>
            </c:numRef>
          </c:val>
        </c:ser>
        <c:ser>
          <c:idx val="2"/>
          <c:order val="2"/>
          <c:tx>
            <c:strRef>
              <c:f>'Données '!$D$167</c:f>
            </c:strRef>
          </c:tx>
          <c:spPr>
            <a:solidFill>
              <a:srgbClr val="F3F3F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'Données '!$E$167:$F$167</c:f>
              <c:numCache/>
            </c:numRef>
          </c:val>
        </c:ser>
        <c:overlap val="100"/>
        <c:axId val="1215091416"/>
        <c:axId val="2049513120"/>
      </c:barChart>
      <c:catAx>
        <c:axId val="121509141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49513120"/>
      </c:catAx>
      <c:valAx>
        <c:axId val="2049513120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509141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percentStacked"/>
        <c:ser>
          <c:idx val="0"/>
          <c:order val="0"/>
          <c:tx>
            <c:strRef>
              <c:f>'Données '!$P$64</c:f>
            </c:strRef>
          </c:tx>
          <c:spPr>
            <a:solidFill>
              <a:srgbClr val="00B05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'!$P$65:$P$72</c:f>
              <c:numCache/>
            </c:numRef>
          </c:val>
        </c:ser>
        <c:ser>
          <c:idx val="1"/>
          <c:order val="1"/>
          <c:tx>
            <c:strRef>
              <c:f>'Données '!$Q$64</c:f>
            </c:strRef>
          </c:tx>
          <c:spPr>
            <a:solidFill>
              <a:srgbClr val="DD7E6B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'!$Q$65:$Q$72</c:f>
              <c:numCache/>
            </c:numRef>
          </c:val>
        </c:ser>
        <c:ser>
          <c:idx val="2"/>
          <c:order val="2"/>
          <c:tx>
            <c:strRef>
              <c:f>'Données '!$R$64</c:f>
            </c:strRef>
          </c:tx>
          <c:spPr>
            <a:solidFill>
              <a:srgbClr val="B7B7B7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'!$R$65:$R$72</c:f>
              <c:numCache/>
            </c:numRef>
          </c:val>
        </c:ser>
        <c:ser>
          <c:idx val="3"/>
          <c:order val="3"/>
          <c:tx>
            <c:strRef>
              <c:f>'Données '!$S$64</c:f>
            </c:strRef>
          </c:tx>
          <c:spPr>
            <a:solidFill>
              <a:srgbClr val="F3F3F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'!$S$65:$S$72</c:f>
              <c:numCache/>
            </c:numRef>
          </c:val>
        </c:ser>
        <c:overlap val="100"/>
        <c:axId val="105108032"/>
        <c:axId val="184337475"/>
      </c:barChart>
      <c:lineChart>
        <c:varyColors val="0"/>
        <c:ser>
          <c:idx val="4"/>
          <c:order val="4"/>
          <c:tx>
            <c:strRef>
              <c:f>'Données '!$O$64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'!$O$65:$O$72</c:f>
              <c:numCache/>
            </c:numRef>
          </c:val>
          <c:smooth val="0"/>
        </c:ser>
        <c:axId val="105108032"/>
        <c:axId val="184337475"/>
      </c:lineChart>
      <c:catAx>
        <c:axId val="10510803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84337475"/>
      </c:catAx>
      <c:valAx>
        <c:axId val="1843374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510803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'Données '!$L$64</c:f>
            </c:strRef>
          </c:tx>
          <c:spPr>
            <a:solidFill>
              <a:srgbClr val="FF00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'!$L$65:$L$72</c:f>
              <c:numCache/>
            </c:numRef>
          </c:val>
        </c:ser>
        <c:ser>
          <c:idx val="1"/>
          <c:order val="1"/>
          <c:tx>
            <c:strRef>
              <c:f>'Données '!$M$64</c:f>
            </c:strRef>
          </c:tx>
          <c:spPr>
            <a:solidFill>
              <a:srgbClr val="FF99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'!$M$65:$M$72</c:f>
              <c:numCache/>
            </c:numRef>
          </c:val>
        </c:ser>
        <c:ser>
          <c:idx val="2"/>
          <c:order val="2"/>
          <c:tx>
            <c:strRef>
              <c:f>'Données '!$N$64</c:f>
            </c:strRef>
          </c:tx>
          <c:spPr>
            <a:solidFill>
              <a:srgbClr val="9FC5E8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'!$D$65:$D$72</c:f>
            </c:strRef>
          </c:cat>
          <c:val>
            <c:numRef>
              <c:f>'Données '!$N$65:$N$72</c:f>
              <c:numCache/>
            </c:numRef>
          </c:val>
        </c:ser>
        <c:axId val="333353693"/>
        <c:axId val="1010954549"/>
      </c:barChart>
      <c:catAx>
        <c:axId val="33335369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1" sz="1200">
                <a:solidFill>
                  <a:srgbClr val="000000"/>
                </a:solidFill>
                <a:latin typeface="+mn-lt"/>
              </a:defRPr>
            </a:pPr>
          </a:p>
        </c:txPr>
        <c:crossAx val="1010954549"/>
      </c:catAx>
      <c:valAx>
        <c:axId val="1010954549"/>
        <c:scaling>
          <c:orientation val="minMax"/>
          <c:max val="10.0"/>
        </c:scaling>
        <c:delete val="0"/>
        <c:axPos val="r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3353693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'Données '!$L$64</c:f>
            </c:strRef>
          </c:tx>
          <c:spPr>
            <a:solidFill>
              <a:srgbClr val="FF00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'!$D$65:$D$69</c:f>
            </c:strRef>
          </c:cat>
          <c:val>
            <c:numRef>
              <c:f>'Données '!$L$65:$L$70</c:f>
              <c:numCache/>
            </c:numRef>
          </c:val>
        </c:ser>
        <c:ser>
          <c:idx val="1"/>
          <c:order val="1"/>
          <c:tx>
            <c:strRef>
              <c:f>'Données '!$M$64</c:f>
            </c:strRef>
          </c:tx>
          <c:spPr>
            <a:solidFill>
              <a:srgbClr val="FF99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'!$D$65:$D$69</c:f>
            </c:strRef>
          </c:cat>
          <c:val>
            <c:numRef>
              <c:f>'Données '!$M$65:$M$71</c:f>
              <c:numCache/>
            </c:numRef>
          </c:val>
        </c:ser>
        <c:ser>
          <c:idx val="2"/>
          <c:order val="2"/>
          <c:tx>
            <c:strRef>
              <c:f>'Données '!$N$64</c:f>
            </c:strRef>
          </c:tx>
          <c:spPr>
            <a:solidFill>
              <a:schemeClr val="accent1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'!$D$65:$D$69</c:f>
            </c:strRef>
          </c:cat>
          <c:val>
            <c:numRef>
              <c:f>'Données '!$N$65:$N$70</c:f>
              <c:numCache/>
            </c:numRef>
          </c:val>
        </c:ser>
        <c:axId val="1778879564"/>
        <c:axId val="1637432689"/>
      </c:barChart>
      <c:catAx>
        <c:axId val="17788795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1" sz="1200">
                <a:solidFill>
                  <a:srgbClr val="000000"/>
                </a:solidFill>
                <a:latin typeface="+mn-lt"/>
              </a:defRPr>
            </a:pPr>
          </a:p>
        </c:txPr>
        <c:crossAx val="1637432689"/>
      </c:catAx>
      <c:valAx>
        <c:axId val="1637432689"/>
        <c:scaling>
          <c:orientation val="minMax"/>
          <c:max val="10.0"/>
        </c:scaling>
        <c:delete val="0"/>
        <c:axPos val="r"/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78879564"/>
        <c:crosses val="max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>
        <a:alpha val="0"/>
      </a:srgbClr>
    </a:solidFill>
  </c:spPr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percentStacked"/>
        <c:ser>
          <c:idx val="0"/>
          <c:order val="0"/>
          <c:tx>
            <c:strRef>
              <c:f>'Données '!$P$64</c:f>
            </c:strRef>
          </c:tx>
          <c:spPr>
            <a:solidFill>
              <a:srgbClr val="00B05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'!$D$65:$D$69</c:f>
            </c:strRef>
          </c:cat>
          <c:val>
            <c:numRef>
              <c:f>'Données '!$P$65:$P$69</c:f>
              <c:numCache/>
            </c:numRef>
          </c:val>
        </c:ser>
        <c:ser>
          <c:idx val="1"/>
          <c:order val="1"/>
          <c:tx>
            <c:strRef>
              <c:f>'Données '!$Q$64</c:f>
            </c:strRef>
          </c:tx>
          <c:spPr>
            <a:solidFill>
              <a:srgbClr val="DD7E6B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'!$D$65:$D$69</c:f>
            </c:strRef>
          </c:cat>
          <c:val>
            <c:numRef>
              <c:f>'Données '!$Q$65:$Q$69</c:f>
              <c:numCache/>
            </c:numRef>
          </c:val>
        </c:ser>
        <c:ser>
          <c:idx val="2"/>
          <c:order val="2"/>
          <c:tx>
            <c:strRef>
              <c:f>'Données '!$R$64</c:f>
            </c:strRef>
          </c:tx>
          <c:spPr>
            <a:solidFill>
              <a:srgbClr val="B7B7B7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'!$D$65:$D$69</c:f>
            </c:strRef>
          </c:cat>
          <c:val>
            <c:numRef>
              <c:f>'Données '!$R$65:$R$69</c:f>
              <c:numCache/>
            </c:numRef>
          </c:val>
        </c:ser>
        <c:ser>
          <c:idx val="3"/>
          <c:order val="3"/>
          <c:tx>
            <c:strRef>
              <c:f>'Données '!$S$64</c:f>
            </c:strRef>
          </c:tx>
          <c:spPr>
            <a:solidFill>
              <a:srgbClr val="F3F3F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'!$D$65:$D$69</c:f>
            </c:strRef>
          </c:cat>
          <c:val>
            <c:numRef>
              <c:f>'Données '!$S$65:$S$69</c:f>
              <c:numCache/>
            </c:numRef>
          </c:val>
        </c:ser>
        <c:overlap val="100"/>
        <c:axId val="2133035517"/>
        <c:axId val="151376009"/>
      </c:barChart>
      <c:lineChart>
        <c:varyColors val="0"/>
        <c:ser>
          <c:idx val="4"/>
          <c:order val="4"/>
          <c:tx>
            <c:strRef>
              <c:f>'Données '!$O$64</c:f>
            </c:strRef>
          </c:tx>
          <c:spPr>
            <a:ln cmpd="sng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dLbls>
            <c:numFmt formatCode="General" sourceLinked="1"/>
            <c:txPr>
              <a:bodyPr/>
              <a:lstStyle/>
              <a:p>
                <a:pPr lvl="0">
                  <a:defRPr>
                    <a:solidFill>
                      <a:srgbClr val="FFFFFF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'!$D$65:$D$69</c:f>
            </c:strRef>
          </c:cat>
          <c:val>
            <c:numRef>
              <c:f>'Données '!$O$65:$O$69</c:f>
              <c:numCache/>
            </c:numRef>
          </c:val>
          <c:smooth val="0"/>
        </c:ser>
        <c:axId val="2133035517"/>
        <c:axId val="151376009"/>
      </c:lineChart>
      <c:catAx>
        <c:axId val="213303551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sz="1200">
                <a:solidFill>
                  <a:srgbClr val="000000"/>
                </a:solidFill>
                <a:latin typeface="+mn-lt"/>
              </a:defRPr>
            </a:pPr>
          </a:p>
        </c:txPr>
        <c:crossAx val="151376009"/>
      </c:catAx>
      <c:valAx>
        <c:axId val="15137600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3303551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Conformité globale</a:t>
            </a:r>
          </a:p>
        </c:rich>
      </c:tx>
      <c:overlay val="0"/>
    </c:title>
    <c:plotArea>
      <c:layout/>
      <c:barChart>
        <c:barDir val="col"/>
        <c:grouping val="percentStacked"/>
        <c:ser>
          <c:idx val="0"/>
          <c:order val="0"/>
          <c:tx>
            <c:strRef>
              <c:f>'Données '!$E$152</c:f>
            </c:strRef>
          </c:tx>
          <c:spPr>
            <a:solidFill>
              <a:srgbClr val="00FF0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'Données '!$D$153:$D$154</c:f>
            </c:strRef>
          </c:cat>
          <c:val>
            <c:numRef>
              <c:f>'Données '!$E$153:$E$154</c:f>
              <c:numCache/>
            </c:numRef>
          </c:val>
        </c:ser>
        <c:ser>
          <c:idx val="1"/>
          <c:order val="1"/>
          <c:tx>
            <c:strRef>
              <c:f>'Données '!$F$152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'Données '!$D$153:$D$154</c:f>
            </c:strRef>
          </c:cat>
          <c:val>
            <c:numRef>
              <c:f>'Données '!$F$153:$F$154</c:f>
              <c:numCache/>
            </c:numRef>
          </c:val>
        </c:ser>
        <c:overlap val="100"/>
        <c:axId val="1818172077"/>
        <c:axId val="1211077054"/>
      </c:barChart>
      <c:catAx>
        <c:axId val="18181720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1077054"/>
      </c:catAx>
      <c:valAx>
        <c:axId val="12110770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81720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bar"/>
        <c:grouping val="percentStacked"/>
        <c:ser>
          <c:idx val="0"/>
          <c:order val="0"/>
          <c:tx>
            <c:strRef>
              <c:f>'Données '!$D$165</c:f>
            </c:strRef>
          </c:tx>
          <c:spPr>
            <a:solidFill>
              <a:srgbClr val="00B050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'Données '!$E$165:$F$165</c:f>
              <c:numCache/>
            </c:numRef>
          </c:val>
        </c:ser>
        <c:ser>
          <c:idx val="1"/>
          <c:order val="1"/>
          <c:tx>
            <c:strRef>
              <c:f>'Données '!$D$166</c:f>
            </c:strRef>
          </c:tx>
          <c:spPr>
            <a:solidFill>
              <a:schemeClr val="accent2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'Données '!$E$166:$F$166</c:f>
              <c:numCache/>
            </c:numRef>
          </c:val>
        </c:ser>
        <c:ser>
          <c:idx val="2"/>
          <c:order val="2"/>
          <c:tx>
            <c:strRef>
              <c:f>'Données '!$D$167</c:f>
            </c:strRef>
          </c:tx>
          <c:spPr>
            <a:solidFill>
              <a:srgbClr val="F3F3F3"/>
            </a:solidFill>
            <a:ln cmpd="sng">
              <a:noFill/>
            </a:ln>
          </c:spPr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val>
            <c:numRef>
              <c:f>'Données '!$E$167:$F$167</c:f>
              <c:numCache/>
            </c:numRef>
          </c:val>
        </c:ser>
        <c:overlap val="100"/>
        <c:axId val="1468410889"/>
        <c:axId val="1711417228"/>
      </c:barChart>
      <c:catAx>
        <c:axId val="146841088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1417228"/>
      </c:catAx>
      <c:valAx>
        <c:axId val="1711417228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6841088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 i="0" sz="1400">
                <a:solidFill>
                  <a:srgbClr val="757575"/>
                </a:solidFill>
                <a:latin typeface="+mn-lt"/>
              </a:defRPr>
            </a:pPr>
            <a:r>
              <a:rPr b="0" i="0" sz="1400">
                <a:solidFill>
                  <a:srgbClr val="757575"/>
                </a:solidFill>
                <a:latin typeface="+mn-lt"/>
              </a:rPr>
              <a:t>Avancement des tests</a:t>
            </a:r>
          </a:p>
        </c:rich>
      </c:tx>
      <c:overlay val="0"/>
    </c:title>
    <c:plotArea>
      <c:layout/>
      <c:lineChart>
        <c:ser>
          <c:idx val="0"/>
          <c:order val="0"/>
          <c:tx>
            <c:v>OK</c:v>
          </c:tx>
          <c:spPr>
            <a:ln cmpd="sng" w="28575">
              <a:solidFill>
                <a:srgbClr val="66FF33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Analyse!$C$10:$BW$10</c:f>
            </c:strRef>
          </c:cat>
          <c:val>
            <c:numRef>
              <c:f>Analyse!$C$13:$BW$13</c:f>
              <c:numCache/>
            </c:numRef>
          </c:val>
          <c:smooth val="0"/>
        </c:ser>
        <c:ser>
          <c:idx val="1"/>
          <c:order val="1"/>
          <c:tx>
            <c:v>KO</c:v>
          </c:tx>
          <c:spPr>
            <a:ln cmpd="sng" w="28575">
              <a:solidFill>
                <a:srgbClr val="FF0000">
                  <a:alpha val="100000"/>
                </a:srgbClr>
              </a:solidFill>
            </a:ln>
          </c:spPr>
          <c:marker>
            <c:symbol val="none"/>
          </c:marker>
          <c:cat>
            <c:strRef>
              <c:f>Analyse!$C$10:$BW$10</c:f>
            </c:strRef>
          </c:cat>
          <c:val>
            <c:numRef>
              <c:f>Analyse!$C$14:$BW$14</c:f>
              <c:numCache/>
            </c:numRef>
          </c:val>
          <c:smooth val="0"/>
        </c:ser>
        <c:ser>
          <c:idx val="2"/>
          <c:order val="2"/>
          <c:tx>
            <c:v>Non Testable</c:v>
          </c:tx>
          <c:spPr>
            <a:ln cmpd="sng" w="28575">
              <a:solidFill>
                <a:srgbClr val="9BBB59"/>
              </a:solidFill>
            </a:ln>
          </c:spPr>
          <c:marker>
            <c:symbol val="none"/>
          </c:marker>
          <c:cat>
            <c:strRef>
              <c:f>Analyse!$C$10:$BW$10</c:f>
            </c:strRef>
          </c:cat>
          <c:val>
            <c:numRef>
              <c:f>Analyse!$C$15:$BW$15</c:f>
              <c:numCache/>
            </c:numRef>
          </c:val>
          <c:smooth val="0"/>
        </c:ser>
        <c:axId val="218390838"/>
        <c:axId val="29658292"/>
      </c:lineChart>
      <c:catAx>
        <c:axId val="2183908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9658292"/>
      </c:catAx>
      <c:valAx>
        <c:axId val="29658292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18390838"/>
      </c:valAx>
    </c:plotArea>
    <c:legend>
      <c:legendPos val="l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varyColors val="0"/>
        <c:ser>
          <c:idx val="0"/>
          <c:order val="0"/>
          <c:tx>
            <c:v>OK</c:v>
          </c:tx>
          <c:spPr>
            <a:ln cmpd="sng" w="28575">
              <a:solidFill>
                <a:srgbClr val="66FF33">
                  <a:alpha val="100000"/>
                </a:srgbClr>
              </a:solidFill>
            </a:ln>
          </c:spPr>
          <c:marker>
            <c:symbol val="none"/>
          </c:marker>
          <c:trendline>
            <c:name>Linear (OK)</c:name>
            <c:spPr>
              <a:ln w="19050">
                <a:solidFill>
                  <a:srgbClr val="000000">
                    <a:alpha val="0"/>
                  </a:srgbClr>
                </a:solidFill>
              </a:ln>
            </c:spPr>
            <c:trendlineType val="linear"/>
            <c:dispRSqr val="0"/>
            <c:dispEq val="0"/>
          </c:trendline>
          <c:cat>
            <c:strRef>
              <c:f>Analyse!$C$10:$BW$10</c:f>
            </c:strRef>
          </c:cat>
          <c:val>
            <c:numRef>
              <c:f>Analyse!$C$13:$BW$13</c:f>
              <c:numCache/>
            </c:numRef>
          </c:val>
          <c:smooth val="0"/>
        </c:ser>
        <c:axId val="2021215883"/>
        <c:axId val="1789835136"/>
      </c:lineChart>
      <c:catAx>
        <c:axId val="2021215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789835136"/>
      </c:catAx>
      <c:valAx>
        <c:axId val="1789835136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2021215883"/>
      </c:valAx>
    </c:plotArea>
    <c:legend>
      <c:legendPos val="l"/>
      <c:overlay val="0"/>
      <c:txPr>
        <a:bodyPr/>
        <a:lstStyle/>
        <a:p>
          <a:pPr lvl="0">
            <a:defRPr b="0" i="0" sz="90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>
        <c:manualLayout>
          <c:xMode val="edge"/>
          <c:yMode val="edge"/>
          <c:x val="0.07770396073424218"/>
          <c:y val="0.1491628257378862"/>
          <c:w val="0.9074947562826146"/>
          <c:h val="0.6657188816752947"/>
        </c:manualLayout>
      </c:layout>
      <c:lineChart>
        <c:varyColors val="0"/>
        <c:ser>
          <c:idx val="0"/>
          <c:order val="0"/>
          <c:tx>
            <c:v>OK</c:v>
          </c:tx>
          <c:spPr>
            <a:ln cmpd="sng" w="28575">
              <a:solidFill>
                <a:srgbClr val="4F81BD"/>
              </a:solidFill>
            </a:ln>
          </c:spPr>
          <c:marker>
            <c:symbol val="none"/>
          </c:marker>
          <c:cat>
            <c:strRef>
              <c:f>Analyse!$C$10:$BW$10</c:f>
            </c:strRef>
          </c:cat>
          <c:val>
            <c:numRef>
              <c:f>Analyse!$C$13:$BW$13</c:f>
              <c:numCache/>
            </c:numRef>
          </c:val>
          <c:smooth val="0"/>
        </c:ser>
        <c:axId val="1299402505"/>
        <c:axId val="375254663"/>
      </c:lineChart>
      <c:catAx>
        <c:axId val="129940250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Temps</a:t>
                </a:r>
              </a:p>
            </c:rich>
          </c:tx>
          <c:layout>
            <c:manualLayout>
              <c:xMode val="edge"/>
              <c:yMode val="edge"/>
              <c:x val="0.49375140089069797"/>
              <c:y val="0.9014322084314064"/>
            </c:manualLayout>
          </c:layout>
          <c:overlay val="0"/>
        </c:title>
        <c:numFmt formatCode="General" sourceLinked="1"/>
        <c:majorTickMark val="out"/>
        <c:minorTickMark val="none"/>
        <c:spPr/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375254663"/>
      </c:catAx>
      <c:valAx>
        <c:axId val="375254663"/>
        <c:scaling>
          <c:orientation val="minMax"/>
          <c:max val="1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 i="0" sz="1000">
                    <a:solidFill>
                      <a:srgbClr val="000000"/>
                    </a:solidFill>
                    <a:latin typeface="+mn-lt"/>
                  </a:defRPr>
                </a:pPr>
                <a:r>
                  <a:rPr b="0" i="0" sz="1000">
                    <a:solidFill>
                      <a:srgbClr val="000000"/>
                    </a:solidFill>
                    <a:latin typeface="+mn-lt"/>
                  </a:rPr>
                  <a:t>Périmètre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000000"/>
                </a:solidFill>
                <a:latin typeface="+mn-lt"/>
              </a:defRPr>
            </a:pPr>
          </a:p>
        </c:txPr>
        <c:crossAx val="1299402505"/>
      </c:valAx>
    </c:plotArea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image" Target="../media/Chart8.png"/><Relationship Id="rId4" Type="http://schemas.openxmlformats.org/officeDocument/2006/relationships/chart" Target="../charts/chart3.xml"/><Relationship Id="rId5" Type="http://schemas.openxmlformats.org/officeDocument/2006/relationships/chart" Target="../charts/chart4.xml"/><Relationship Id="rId6" Type="http://schemas.openxmlformats.org/officeDocument/2006/relationships/image" Target="../media/Chart18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6.png"/><Relationship Id="rId2" Type="http://schemas.openxmlformats.org/officeDocument/2006/relationships/chart" Target="../charts/chart5.xml"/><Relationship Id="rId3" Type="http://schemas.openxmlformats.org/officeDocument/2006/relationships/chart" Target="../charts/chart6.xml"/><Relationship Id="rId4" Type="http://schemas.openxmlformats.org/officeDocument/2006/relationships/chart" Target="../charts/chart7.xml"/><Relationship Id="rId5" Type="http://schemas.openxmlformats.org/officeDocument/2006/relationships/chart" Target="../charts/chart8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6.png"/><Relationship Id="rId2" Type="http://schemas.openxmlformats.org/officeDocument/2006/relationships/chart" Target="../charts/chart9.xml"/><Relationship Id="rId3" Type="http://schemas.openxmlformats.org/officeDocument/2006/relationships/chart" Target="../charts/chart10.xml"/><Relationship Id="rId4" Type="http://schemas.openxmlformats.org/officeDocument/2006/relationships/chart" Target="../charts/chart11.xml"/><Relationship Id="rId5" Type="http://schemas.openxmlformats.org/officeDocument/2006/relationships/chart" Target="../charts/chart12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3.xml"/><Relationship Id="rId2" Type="http://schemas.openxmlformats.org/officeDocument/2006/relationships/chart" Target="../charts/chart14.xml"/><Relationship Id="rId3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9525</xdr:colOff>
      <xdr:row>89</xdr:row>
      <xdr:rowOff>19050</xdr:rowOff>
    </xdr:from>
    <xdr:ext cx="13487400" cy="46196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</xdr:col>
      <xdr:colOff>323850</xdr:colOff>
      <xdr:row>90</xdr:row>
      <xdr:rowOff>85725</xdr:rowOff>
    </xdr:from>
    <xdr:ext cx="13430250" cy="4619625"/>
    <xdr:graphicFrame>
      <xdr:nvGraphicFramePr>
        <xdr:cNvPr id="3" name="Chart 3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20</xdr:col>
      <xdr:colOff>666750</xdr:colOff>
      <xdr:row>23</xdr:row>
      <xdr:rowOff>190500</xdr:rowOff>
    </xdr:from>
    <xdr:ext cx="5715000" cy="3533775"/>
    <xdr:pic>
      <xdr:nvPicPr>
        <xdr:cNvPr id="2021134798" name="Chart8" title="Graphique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7</xdr:col>
      <xdr:colOff>704850</xdr:colOff>
      <xdr:row>140</xdr:row>
      <xdr:rowOff>171450</xdr:rowOff>
    </xdr:from>
    <xdr:ext cx="5715000" cy="3533775"/>
    <xdr:graphicFrame>
      <xdr:nvGraphicFramePr>
        <xdr:cNvPr id="14" name="Chart 14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7</xdr:col>
      <xdr:colOff>704850</xdr:colOff>
      <xdr:row>162</xdr:row>
      <xdr:rowOff>9525</xdr:rowOff>
    </xdr:from>
    <xdr:ext cx="5715000" cy="3533775"/>
    <xdr:graphicFrame>
      <xdr:nvGraphicFramePr>
        <xdr:cNvPr id="17" name="Chart 17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20</xdr:col>
      <xdr:colOff>666750</xdr:colOff>
      <xdr:row>4</xdr:row>
      <xdr:rowOff>47625</xdr:rowOff>
    </xdr:from>
    <xdr:ext cx="5715000" cy="3533775"/>
    <xdr:pic>
      <xdr:nvPicPr>
        <xdr:cNvPr id="2021189492" name="Chart18" title="Graphique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228600</xdr:colOff>
      <xdr:row>3</xdr:row>
      <xdr:rowOff>180975</xdr:rowOff>
    </xdr:from>
    <xdr:ext cx="5715000" cy="3533775"/>
    <xdr:pic>
      <xdr:nvPicPr>
        <xdr:cNvPr id="160209265" name="Chart6" title="Graphique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4</xdr:col>
      <xdr:colOff>685800</xdr:colOff>
      <xdr:row>4</xdr:row>
      <xdr:rowOff>0</xdr:rowOff>
    </xdr:from>
    <xdr:ext cx="2333625" cy="3533775"/>
    <xdr:graphicFrame>
      <xdr:nvGraphicFramePr>
        <xdr:cNvPr id="9" name="Chart 9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257175</xdr:colOff>
      <xdr:row>3</xdr:row>
      <xdr:rowOff>180975</xdr:rowOff>
    </xdr:from>
    <xdr:ext cx="5305425" cy="3533775"/>
    <xdr:graphicFrame>
      <xdr:nvGraphicFramePr>
        <xdr:cNvPr id="10" name="Chart 10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4</xdr:col>
      <xdr:colOff>742950</xdr:colOff>
      <xdr:row>22</xdr:row>
      <xdr:rowOff>161925</xdr:rowOff>
    </xdr:from>
    <xdr:ext cx="13487400" cy="4619625"/>
    <xdr:graphicFrame>
      <xdr:nvGraphicFramePr>
        <xdr:cNvPr id="12" name="Chart 1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5</xdr:col>
      <xdr:colOff>76200</xdr:colOff>
      <xdr:row>24</xdr:row>
      <xdr:rowOff>38100</xdr:rowOff>
    </xdr:from>
    <xdr:ext cx="13430250" cy="4619625"/>
    <xdr:graphicFrame>
      <xdr:nvGraphicFramePr>
        <xdr:cNvPr id="16" name="Chart 16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495300</xdr:colOff>
      <xdr:row>3</xdr:row>
      <xdr:rowOff>180975</xdr:rowOff>
    </xdr:from>
    <xdr:ext cx="5715000" cy="3533775"/>
    <xdr:pic>
      <xdr:nvPicPr>
        <xdr:cNvPr id="903656944" name="Chart7" title="Graphique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790575</xdr:colOff>
      <xdr:row>24</xdr:row>
      <xdr:rowOff>47625</xdr:rowOff>
    </xdr:from>
    <xdr:ext cx="13430250" cy="4619625"/>
    <xdr:graphicFrame>
      <xdr:nvGraphicFramePr>
        <xdr:cNvPr id="11" name="Chart 1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0</xdr:col>
      <xdr:colOff>495300</xdr:colOff>
      <xdr:row>22</xdr:row>
      <xdr:rowOff>171450</xdr:rowOff>
    </xdr:from>
    <xdr:ext cx="13487400" cy="4619625"/>
    <xdr:graphicFrame>
      <xdr:nvGraphicFramePr>
        <xdr:cNvPr id="13" name="Chart 13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6</xdr:col>
      <xdr:colOff>504825</xdr:colOff>
      <xdr:row>3</xdr:row>
      <xdr:rowOff>180975</xdr:rowOff>
    </xdr:from>
    <xdr:ext cx="1971675" cy="3533775"/>
    <xdr:graphicFrame>
      <xdr:nvGraphicFramePr>
        <xdr:cNvPr id="15" name="Chart 15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8</xdr:col>
      <xdr:colOff>590550</xdr:colOff>
      <xdr:row>3</xdr:row>
      <xdr:rowOff>180975</xdr:rowOff>
    </xdr:from>
    <xdr:ext cx="5667375" cy="3533775"/>
    <xdr:graphicFrame>
      <xdr:nvGraphicFramePr>
        <xdr:cNvPr id="19" name="Chart 19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800100</xdr:colOff>
      <xdr:row>18</xdr:row>
      <xdr:rowOff>19050</xdr:rowOff>
    </xdr:from>
    <xdr:ext cx="10963275" cy="3867150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0</xdr:col>
      <xdr:colOff>781050</xdr:colOff>
      <xdr:row>43</xdr:row>
      <xdr:rowOff>19050</xdr:rowOff>
    </xdr:from>
    <xdr:ext cx="10963275" cy="3867150"/>
    <xdr:graphicFrame>
      <xdr:nvGraphicFramePr>
        <xdr:cNvPr id="4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16</xdr:col>
      <xdr:colOff>19050</xdr:colOff>
      <xdr:row>39</xdr:row>
      <xdr:rowOff>133350</xdr:rowOff>
    </xdr:from>
    <xdr:ext cx="10991850" cy="5133975"/>
    <xdr:graphicFrame>
      <xdr:nvGraphicFramePr>
        <xdr:cNvPr id="5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16</xdr:col>
      <xdr:colOff>19050</xdr:colOff>
      <xdr:row>39</xdr:row>
      <xdr:rowOff>133350</xdr:rowOff>
    </xdr:from>
    <xdr:ext cx="10991850" cy="5133975"/>
    <xdr:grpSp>
      <xdr:nvGrpSpPr>
        <xdr:cNvPr id="2" name="Shape 2"/>
        <xdr:cNvGrpSpPr/>
      </xdr:nvGrpSpPr>
      <xdr:grpSpPr>
        <a:xfrm>
          <a:off x="0" y="1213013"/>
          <a:ext cx="10691987" cy="5133967"/>
          <a:chOff x="0" y="1213013"/>
          <a:chExt cx="10691987" cy="5133967"/>
        </a:xfrm>
      </xdr:grpSpPr>
      <xdr:grpSp>
        <xdr:nvGrpSpPr>
          <xdr:cNvPr id="3" name="Shape 3"/>
          <xdr:cNvGrpSpPr/>
        </xdr:nvGrpSpPr>
        <xdr:grpSpPr>
          <a:xfrm>
            <a:off x="0" y="1213013"/>
            <a:ext cx="10691987" cy="5133967"/>
            <a:chOff x="1347107" y="12436929"/>
            <a:chExt cx="11171450" cy="4871350"/>
          </a:xfrm>
        </xdr:grpSpPr>
        <xdr:sp>
          <xdr:nvSpPr>
            <xdr:cNvPr id="4" name="Shape 4"/>
            <xdr:cNvSpPr/>
          </xdr:nvSpPr>
          <xdr:spPr>
            <a:xfrm>
              <a:off x="1347107" y="12436929"/>
              <a:ext cx="11171450" cy="4871350"/>
            </a:xfrm>
            <a:prstGeom prst="rect">
              <a:avLst/>
            </a:prstGeom>
            <a:noFill/>
            <a:ln>
              <a:noFill/>
            </a:ln>
          </xdr:spPr>
          <xdr:txBody>
            <a:bodyPr anchorCtr="0" anchor="ctr" bIns="91425" lIns="91425" spcFirstLastPara="1" rIns="91425" wrap="square" tIns="91425">
              <a:noAutofit/>
            </a:bodyPr>
            <a:lstStyle/>
            <a:p>
              <a:pPr indent="0" lvl="0" marL="0" rtl="0" algn="l">
                <a:spcBef>
                  <a:spcPts val="0"/>
                </a:spcBef>
                <a:spcAft>
                  <a:spcPts val="0"/>
                </a:spcAft>
                <a:buNone/>
              </a:pPr>
              <a:r>
                <a:t/>
              </a:r>
              <a:endParaRPr sz="1400"/>
            </a:p>
          </xdr:txBody>
        </xdr:sp>
        <xdr:cxnSp>
          <xdr:nvCxnSpPr>
            <xdr:cNvPr id="5" name="Shape 5"/>
            <xdr:cNvCxnSpPr/>
          </xdr:nvCxnSpPr>
          <xdr:spPr>
            <a:xfrm flipH="1" rot="10800000">
              <a:off x="2231572" y="12518534"/>
              <a:ext cx="5024644" cy="3850859"/>
            </a:xfrm>
            <a:prstGeom prst="straightConnector1">
              <a:avLst/>
            </a:prstGeom>
            <a:noFill/>
            <a:ln cap="flat" cmpd="sng" w="25400">
              <a:solidFill>
                <a:srgbClr val="00B050"/>
              </a:solidFill>
              <a:prstDash val="dash"/>
              <a:round/>
              <a:headEnd len="sm" w="sm" type="none"/>
              <a:tailEnd len="sm" w="sm" type="none"/>
            </a:ln>
          </xdr:spPr>
        </xdr:cxnSp>
        <xdr:cxnSp>
          <xdr:nvCxnSpPr>
            <xdr:cNvPr id="6" name="Shape 6"/>
            <xdr:cNvCxnSpPr/>
          </xdr:nvCxnSpPr>
          <xdr:spPr>
            <a:xfrm flipH="1" rot="10800000">
              <a:off x="2217964" y="12816060"/>
              <a:ext cx="6264713" cy="3580549"/>
            </a:xfrm>
            <a:prstGeom prst="straightConnector1">
              <a:avLst/>
            </a:prstGeom>
            <a:noFill/>
            <a:ln cap="flat" cmpd="sng" w="28575">
              <a:solidFill>
                <a:srgbClr val="FF0000"/>
              </a:solidFill>
              <a:prstDash val="dash"/>
              <a:round/>
              <a:headEnd len="sm" w="sm" type="none"/>
              <a:tailEnd len="sm" w="sm" type="none"/>
            </a:ln>
          </xdr:spPr>
        </xdr:cxnSp>
      </xdr:grpSp>
    </xdr:grpSp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8.43"/>
    <col customWidth="1" min="2" max="2" width="10.71"/>
    <col customWidth="1" min="3" max="3" width="14.29"/>
    <col customWidth="1" min="4" max="4" width="18.29"/>
    <col customWidth="1" min="5" max="5" width="8.57"/>
    <col customWidth="1" min="6" max="6" width="6.0"/>
    <col customWidth="1" min="7" max="8" width="10.71"/>
    <col customWidth="1" min="9" max="9" width="13.14"/>
    <col customWidth="1" min="10" max="10" width="12.71"/>
    <col customWidth="1" min="11" max="11" width="10.71"/>
    <col customWidth="1" min="12" max="12" width="12.86"/>
    <col customWidth="1" min="13" max="13" width="12.57"/>
    <col customWidth="1" min="14" max="14" width="10.71"/>
    <col customWidth="1" min="15" max="15" width="11.29"/>
    <col customWidth="1" min="16" max="29" width="10.71"/>
  </cols>
  <sheetData>
    <row r="1">
      <c r="A1" s="27" t="s">
        <v>80</v>
      </c>
      <c r="B1" s="27"/>
    </row>
    <row r="2">
      <c r="A2" s="28"/>
      <c r="B2" s="28"/>
    </row>
    <row r="3">
      <c r="A3" s="28"/>
      <c r="B3" s="17"/>
      <c r="D3" s="29" t="s">
        <v>81</v>
      </c>
      <c r="E3" s="29" t="s">
        <v>82</v>
      </c>
      <c r="F3" s="29" t="s">
        <v>83</v>
      </c>
      <c r="G3" s="29" t="s">
        <v>84</v>
      </c>
      <c r="H3" s="29" t="s">
        <v>85</v>
      </c>
      <c r="I3" s="29" t="s">
        <v>86</v>
      </c>
      <c r="J3" s="29" t="s">
        <v>87</v>
      </c>
      <c r="K3" s="30" t="s">
        <v>88</v>
      </c>
      <c r="L3" s="31" t="s">
        <v>89</v>
      </c>
      <c r="P3" s="32" t="s">
        <v>90</v>
      </c>
      <c r="Q3" s="32" t="s">
        <v>91</v>
      </c>
      <c r="R3" s="33" t="s">
        <v>83</v>
      </c>
      <c r="S3" s="32" t="s">
        <v>92</v>
      </c>
      <c r="T3" s="32" t="s">
        <v>93</v>
      </c>
      <c r="W3" s="34"/>
      <c r="X3" s="35"/>
    </row>
    <row r="4">
      <c r="A4" s="36" t="s">
        <v>94</v>
      </c>
      <c r="B4" s="37" t="s">
        <v>95</v>
      </c>
      <c r="D4" s="38" t="s">
        <v>96</v>
      </c>
      <c r="E4" s="39" t="s">
        <v>97</v>
      </c>
      <c r="F4" s="40">
        <v>1.0</v>
      </c>
      <c r="G4" s="41">
        <f>'Données '!T65</f>
        <v>0</v>
      </c>
      <c r="H4" s="42">
        <f>SUM('Données '!P65:R65)</f>
        <v>0</v>
      </c>
      <c r="I4" s="42">
        <f>'Données '!P65+'Données '!R65</f>
        <v>0</v>
      </c>
      <c r="J4" s="42">
        <f>'Données '!Q65+'Données '!S65</f>
        <v>0</v>
      </c>
      <c r="K4" s="43">
        <f t="shared" ref="K4:L4" si="1">I4*$F4</f>
        <v>0</v>
      </c>
      <c r="L4" s="44">
        <f t="shared" si="1"/>
        <v>0</v>
      </c>
      <c r="P4" s="39" t="s">
        <v>97</v>
      </c>
      <c r="Q4" s="45"/>
      <c r="R4" s="46"/>
      <c r="S4" s="46"/>
      <c r="T4" s="46"/>
      <c r="W4" s="34"/>
      <c r="X4" s="35"/>
    </row>
    <row r="5">
      <c r="A5" s="47" t="s">
        <v>98</v>
      </c>
      <c r="B5" s="37" t="s">
        <v>99</v>
      </c>
      <c r="D5" s="38" t="s">
        <v>100</v>
      </c>
      <c r="E5" s="39" t="s">
        <v>97</v>
      </c>
      <c r="F5" s="48">
        <v>1.0</v>
      </c>
      <c r="G5" s="41">
        <f>'Données '!T66</f>
        <v>0</v>
      </c>
      <c r="H5" s="42">
        <f>SUM('Données '!P66:R66)</f>
        <v>0</v>
      </c>
      <c r="I5" s="42">
        <f>'Données '!P66+'Données '!R66</f>
        <v>0</v>
      </c>
      <c r="J5" s="42">
        <f>'Données '!Q66+'Données '!S66</f>
        <v>0</v>
      </c>
      <c r="K5" s="43">
        <f t="shared" ref="K5:L5" si="2">I5*$F5</f>
        <v>0</v>
      </c>
      <c r="L5" s="44">
        <f t="shared" si="2"/>
        <v>0</v>
      </c>
      <c r="P5" s="49" t="s">
        <v>101</v>
      </c>
      <c r="Q5" s="50" t="str">
        <f t="shared" ref="Q5:Q7" si="4">$P$4</f>
        <v>Sprint</v>
      </c>
      <c r="R5" s="51"/>
      <c r="S5" s="52" t="str">
        <f t="shared" ref="S5:S7" si="5">R5</f>
        <v/>
      </c>
      <c r="T5" s="52"/>
      <c r="W5" s="34"/>
      <c r="X5" s="35"/>
    </row>
    <row r="6">
      <c r="A6" s="47" t="s">
        <v>102</v>
      </c>
      <c r="B6" s="37" t="s">
        <v>99</v>
      </c>
      <c r="D6" s="38" t="s">
        <v>103</v>
      </c>
      <c r="E6" s="39" t="s">
        <v>97</v>
      </c>
      <c r="F6" s="40">
        <v>1.0</v>
      </c>
      <c r="G6" s="41">
        <f>'Données '!T67</f>
        <v>0</v>
      </c>
      <c r="H6" s="42">
        <f>SUM('Données '!P67:R67)</f>
        <v>0</v>
      </c>
      <c r="I6" s="42">
        <f>'Données '!P67+'Données '!R67</f>
        <v>0</v>
      </c>
      <c r="J6" s="42">
        <f>'Données '!Q67+'Données '!S67</f>
        <v>0</v>
      </c>
      <c r="K6" s="43">
        <f t="shared" ref="K6:L6" si="3">I6*$F6</f>
        <v>0</v>
      </c>
      <c r="L6" s="44">
        <f t="shared" si="3"/>
        <v>0</v>
      </c>
      <c r="P6" s="49" t="s">
        <v>104</v>
      </c>
      <c r="Q6" s="50" t="str">
        <f t="shared" si="4"/>
        <v>Sprint</v>
      </c>
      <c r="R6" s="51"/>
      <c r="S6" s="52" t="str">
        <f t="shared" si="5"/>
        <v/>
      </c>
      <c r="T6" s="52"/>
      <c r="W6" s="34"/>
      <c r="X6" s="35"/>
    </row>
    <row r="7">
      <c r="A7" s="47" t="s">
        <v>105</v>
      </c>
      <c r="B7" s="37" t="s">
        <v>99</v>
      </c>
      <c r="D7" s="38" t="s">
        <v>106</v>
      </c>
      <c r="E7" s="39" t="s">
        <v>97</v>
      </c>
      <c r="F7" s="48">
        <v>1.0</v>
      </c>
      <c r="G7" s="41">
        <f>'Données '!T68</f>
        <v>0</v>
      </c>
      <c r="H7" s="42">
        <f>SUM('Données '!P68:R68)</f>
        <v>0</v>
      </c>
      <c r="I7" s="42">
        <f>'Données '!P80+'Données '!R80</f>
        <v>0</v>
      </c>
      <c r="J7" s="42">
        <f>'Données '!Q80+'Données '!S80</f>
        <v>0</v>
      </c>
      <c r="K7" s="43">
        <f t="shared" ref="K7:L7" si="6">I7*$F7</f>
        <v>0</v>
      </c>
      <c r="L7" s="44">
        <f t="shared" si="6"/>
        <v>0</v>
      </c>
      <c r="P7" s="49" t="s">
        <v>107</v>
      </c>
      <c r="Q7" s="50" t="str">
        <f t="shared" si="4"/>
        <v>Sprint</v>
      </c>
      <c r="R7" s="51"/>
      <c r="S7" s="52" t="str">
        <f t="shared" si="5"/>
        <v/>
      </c>
      <c r="T7" s="52"/>
    </row>
    <row r="8">
      <c r="A8" s="36" t="s">
        <v>108</v>
      </c>
      <c r="B8" s="37" t="s">
        <v>95</v>
      </c>
      <c r="D8" s="38" t="s">
        <v>109</v>
      </c>
      <c r="E8" s="39" t="s">
        <v>97</v>
      </c>
      <c r="F8" s="48">
        <v>1.0</v>
      </c>
      <c r="G8" s="41">
        <f>'Données '!T69</f>
        <v>0</v>
      </c>
      <c r="H8" s="42">
        <f>SUM('Données '!P69:R69)</f>
        <v>0</v>
      </c>
      <c r="I8" s="42">
        <f>'Données '!P68+'Données '!R68</f>
        <v>0</v>
      </c>
      <c r="J8" s="42">
        <f>'Données '!Q68+'Données '!S68</f>
        <v>0</v>
      </c>
      <c r="K8" s="43">
        <f t="shared" ref="K8:L8" si="7">I8*$F8</f>
        <v>0</v>
      </c>
      <c r="L8" s="44">
        <f t="shared" si="7"/>
        <v>0</v>
      </c>
      <c r="P8" s="49"/>
      <c r="R8" s="51"/>
      <c r="S8" s="52"/>
      <c r="T8" s="52"/>
      <c r="W8" s="34"/>
      <c r="X8" s="35"/>
    </row>
    <row r="9">
      <c r="A9" s="53" t="s">
        <v>110</v>
      </c>
      <c r="B9" s="37" t="s">
        <v>111</v>
      </c>
      <c r="D9" s="38" t="s">
        <v>112</v>
      </c>
      <c r="E9" s="39" t="s">
        <v>97</v>
      </c>
      <c r="F9" s="48">
        <v>1.0</v>
      </c>
      <c r="G9" s="54">
        <v>0.0</v>
      </c>
      <c r="H9" s="42">
        <f>SUM('Données '!P70:R70)</f>
        <v>1</v>
      </c>
      <c r="I9" s="55">
        <v>0.88</v>
      </c>
      <c r="J9" s="55">
        <v>0.13</v>
      </c>
      <c r="K9" s="43">
        <f t="shared" ref="K9:L9" si="8">I9*$F9</f>
        <v>0.88</v>
      </c>
      <c r="L9" s="44">
        <f t="shared" si="8"/>
        <v>0.13</v>
      </c>
      <c r="P9" s="49"/>
      <c r="R9" s="52"/>
      <c r="S9" s="52"/>
      <c r="T9" s="52"/>
      <c r="W9" s="34"/>
      <c r="X9" s="35"/>
    </row>
    <row r="10">
      <c r="A10" s="53" t="s">
        <v>113</v>
      </c>
      <c r="B10" s="37" t="s">
        <v>111</v>
      </c>
      <c r="D10" s="38" t="s">
        <v>114</v>
      </c>
      <c r="E10" s="39" t="s">
        <v>97</v>
      </c>
      <c r="F10" s="48">
        <v>1.0</v>
      </c>
      <c r="G10" s="54">
        <v>1.0</v>
      </c>
      <c r="H10" s="42">
        <f>SUM('Données '!P71:R71)</f>
        <v>1</v>
      </c>
      <c r="I10" s="55">
        <v>0.95</v>
      </c>
      <c r="J10" s="55">
        <v>0.05</v>
      </c>
      <c r="K10" s="43">
        <f t="shared" ref="K10:L10" si="9">I10*$F10</f>
        <v>0.95</v>
      </c>
      <c r="L10" s="44">
        <f t="shared" si="9"/>
        <v>0.05</v>
      </c>
      <c r="R10" s="52"/>
      <c r="S10" s="52"/>
      <c r="T10" s="52"/>
      <c r="W10" s="34"/>
      <c r="X10" s="35"/>
    </row>
    <row r="11">
      <c r="A11" s="36" t="s">
        <v>115</v>
      </c>
      <c r="B11" s="37" t="s">
        <v>95</v>
      </c>
      <c r="D11" s="38" t="s">
        <v>116</v>
      </c>
      <c r="E11" s="39" t="s">
        <v>97</v>
      </c>
      <c r="F11" s="48">
        <v>1.0</v>
      </c>
      <c r="G11" s="41">
        <f>'Données '!T72</f>
        <v>0</v>
      </c>
      <c r="H11" s="42">
        <f>SUM('Données '!P72:R72)</f>
        <v>0</v>
      </c>
      <c r="I11" s="55">
        <v>0.0</v>
      </c>
      <c r="J11" s="55">
        <v>0.0</v>
      </c>
      <c r="K11" s="43">
        <f t="shared" ref="K11:L11" si="10">I11*$F11</f>
        <v>0</v>
      </c>
      <c r="L11" s="44">
        <f t="shared" si="10"/>
        <v>0</v>
      </c>
      <c r="P11" s="56" t="str">
        <f t="shared" ref="P11:Q11" si="11">D4</f>
        <v>Story 1</v>
      </c>
      <c r="Q11" s="50" t="str">
        <f t="shared" si="11"/>
        <v>Sprint</v>
      </c>
      <c r="R11" s="32">
        <v>0.0</v>
      </c>
      <c r="S11" s="21">
        <f t="shared" ref="S11:S15" si="14">G4</f>
        <v>0</v>
      </c>
      <c r="T11" s="57">
        <f t="shared" ref="T11:T20" si="15">P65</f>
        <v>0</v>
      </c>
      <c r="W11" s="34"/>
      <c r="X11" s="35"/>
    </row>
    <row r="12">
      <c r="B12" s="29"/>
      <c r="D12" s="38"/>
      <c r="E12" s="38"/>
      <c r="F12" s="40"/>
      <c r="G12" s="41">
        <f>'Données '!T73</f>
        <v>0</v>
      </c>
      <c r="H12" s="42">
        <f>SUM('Données '!P73:R73)</f>
        <v>0</v>
      </c>
      <c r="I12" s="42">
        <f>'Données '!P72+'Données '!R72</f>
        <v>0</v>
      </c>
      <c r="J12" s="42">
        <f>'Données '!Q72+'Données '!S72</f>
        <v>0</v>
      </c>
      <c r="K12" s="43">
        <f t="shared" ref="K12:L12" si="12">I12*$F12</f>
        <v>0</v>
      </c>
      <c r="L12" s="44">
        <f t="shared" si="12"/>
        <v>0</v>
      </c>
      <c r="P12" s="56" t="str">
        <f t="shared" ref="P12:Q12" si="13">D5</f>
        <v>Story 3</v>
      </c>
      <c r="Q12" s="50" t="str">
        <f t="shared" si="13"/>
        <v>Sprint</v>
      </c>
      <c r="R12" s="32">
        <v>0.0</v>
      </c>
      <c r="S12" s="21">
        <f t="shared" si="14"/>
        <v>0</v>
      </c>
      <c r="T12" s="57">
        <f t="shared" si="15"/>
        <v>0</v>
      </c>
      <c r="W12" s="34"/>
      <c r="X12" s="35"/>
    </row>
    <row r="13">
      <c r="B13" s="29"/>
      <c r="D13" s="38"/>
      <c r="E13" s="38"/>
      <c r="F13" s="40"/>
      <c r="G13" s="41">
        <f>'Données '!T74</f>
        <v>0</v>
      </c>
      <c r="H13" s="42">
        <f>SUM('Données '!P74:R74)</f>
        <v>0</v>
      </c>
      <c r="I13" s="42">
        <f>'Données '!P73+'Données '!R73</f>
        <v>0</v>
      </c>
      <c r="J13" s="42">
        <f>'Données '!Q73+'Données '!S73</f>
        <v>0</v>
      </c>
      <c r="K13" s="43">
        <f t="shared" ref="K13:L13" si="16">I13*$F13</f>
        <v>0</v>
      </c>
      <c r="L13" s="44">
        <f t="shared" si="16"/>
        <v>0</v>
      </c>
      <c r="P13" s="56" t="str">
        <f t="shared" ref="P13:Q13" si="17">D6</f>
        <v>Story 4</v>
      </c>
      <c r="Q13" s="50" t="str">
        <f t="shared" si="17"/>
        <v>Sprint</v>
      </c>
      <c r="R13" s="32">
        <v>0.0</v>
      </c>
      <c r="S13" s="21">
        <f t="shared" si="14"/>
        <v>0</v>
      </c>
      <c r="T13" s="57">
        <f t="shared" si="15"/>
        <v>0</v>
      </c>
      <c r="W13" s="34"/>
      <c r="X13" s="35"/>
    </row>
    <row r="14">
      <c r="B14" s="29"/>
      <c r="C14" s="58"/>
      <c r="D14" s="58"/>
      <c r="E14" s="40"/>
      <c r="F14" s="40"/>
      <c r="G14" s="41"/>
      <c r="H14" s="42"/>
      <c r="I14" s="42"/>
      <c r="J14" s="42"/>
      <c r="K14" s="43"/>
      <c r="L14" s="44"/>
      <c r="P14" s="56" t="str">
        <f t="shared" ref="P14:Q14" si="18">D7</f>
        <v>Story 5</v>
      </c>
      <c r="Q14" s="50" t="str">
        <f t="shared" si="18"/>
        <v>Sprint</v>
      </c>
      <c r="R14" s="32">
        <v>0.0</v>
      </c>
      <c r="S14" s="21">
        <f t="shared" si="14"/>
        <v>0</v>
      </c>
      <c r="T14" s="57">
        <f t="shared" si="15"/>
        <v>0</v>
      </c>
    </row>
    <row r="15">
      <c r="B15" s="29"/>
      <c r="C15" s="58"/>
      <c r="D15" s="58"/>
      <c r="E15" s="40"/>
      <c r="F15" s="40"/>
      <c r="G15" s="41"/>
      <c r="H15" s="42"/>
      <c r="I15" s="42"/>
      <c r="J15" s="42"/>
      <c r="K15" s="43"/>
      <c r="L15" s="44"/>
      <c r="P15" s="56" t="str">
        <f t="shared" ref="P15:Q15" si="19">D8</f>
        <v>Story 6</v>
      </c>
      <c r="Q15" s="50" t="str">
        <f t="shared" si="19"/>
        <v>Sprint</v>
      </c>
      <c r="R15" s="32">
        <v>0.0</v>
      </c>
      <c r="S15" s="21">
        <f t="shared" si="14"/>
        <v>0</v>
      </c>
      <c r="T15" s="57">
        <f t="shared" si="15"/>
        <v>0</v>
      </c>
      <c r="X15" s="35"/>
    </row>
    <row r="16">
      <c r="B16" s="29"/>
      <c r="C16" s="58"/>
      <c r="D16" s="58"/>
      <c r="E16" s="40"/>
      <c r="F16" s="40"/>
      <c r="G16" s="41"/>
      <c r="H16" s="42"/>
      <c r="I16" s="42"/>
      <c r="J16" s="42"/>
      <c r="K16" s="43"/>
      <c r="L16" s="44"/>
      <c r="P16" s="56" t="str">
        <f t="shared" ref="P16:Q16" si="20">D9</f>
        <v>Story 7</v>
      </c>
      <c r="Q16" s="50" t="str">
        <f t="shared" si="20"/>
        <v>Sprint</v>
      </c>
      <c r="R16" s="32">
        <v>2.0</v>
      </c>
      <c r="S16" s="32">
        <v>0.0</v>
      </c>
      <c r="T16" s="57">
        <f t="shared" si="15"/>
        <v>1</v>
      </c>
    </row>
    <row r="17">
      <c r="B17" s="29"/>
      <c r="C17" s="58"/>
      <c r="D17" s="58"/>
      <c r="E17" s="40"/>
      <c r="F17" s="40"/>
      <c r="G17" s="41"/>
      <c r="H17" s="42"/>
      <c r="I17" s="42"/>
      <c r="J17" s="42"/>
      <c r="K17" s="43"/>
      <c r="L17" s="44"/>
      <c r="P17" s="56" t="str">
        <f t="shared" ref="P17:Q17" si="21">D10</f>
        <v>Story 8</v>
      </c>
      <c r="Q17" s="50" t="str">
        <f t="shared" si="21"/>
        <v>Sprint</v>
      </c>
      <c r="R17" s="32">
        <v>2.0</v>
      </c>
      <c r="S17" s="32">
        <v>0.0</v>
      </c>
      <c r="T17" s="57">
        <f t="shared" si="15"/>
        <v>0.9545454545</v>
      </c>
    </row>
    <row r="18">
      <c r="B18" s="29"/>
      <c r="C18" s="58"/>
      <c r="D18" s="58"/>
      <c r="E18" s="40"/>
      <c r="F18" s="40"/>
      <c r="G18" s="41"/>
      <c r="H18" s="42"/>
      <c r="I18" s="42"/>
      <c r="J18" s="42"/>
      <c r="K18" s="43"/>
      <c r="L18" s="44"/>
      <c r="P18" s="56" t="str">
        <f t="shared" ref="P18:Q18" si="22">D11</f>
        <v>Story 9</v>
      </c>
      <c r="Q18" s="50" t="str">
        <f t="shared" si="22"/>
        <v>Sprint</v>
      </c>
      <c r="R18" s="32">
        <v>0.0</v>
      </c>
      <c r="S18" s="21">
        <f>G11</f>
        <v>0</v>
      </c>
      <c r="T18" s="57">
        <f t="shared" si="15"/>
        <v>0</v>
      </c>
    </row>
    <row r="19">
      <c r="B19" s="29"/>
      <c r="C19" s="58"/>
      <c r="D19" s="58"/>
      <c r="E19" s="40"/>
      <c r="F19" s="40"/>
      <c r="G19" s="41"/>
      <c r="H19" s="42"/>
      <c r="I19" s="42"/>
      <c r="J19" s="42"/>
      <c r="K19" s="43"/>
      <c r="L19" s="44"/>
      <c r="P19" s="56" t="str">
        <f t="shared" ref="P19:S19" si="23">D12</f>
        <v/>
      </c>
      <c r="Q19" s="50" t="str">
        <f t="shared" si="23"/>
        <v/>
      </c>
      <c r="R19" s="32" t="str">
        <f t="shared" si="23"/>
        <v/>
      </c>
      <c r="S19" s="21">
        <f t="shared" si="23"/>
        <v>0</v>
      </c>
      <c r="T19" s="57">
        <f t="shared" si="15"/>
        <v>0</v>
      </c>
    </row>
    <row r="20">
      <c r="B20" s="29"/>
      <c r="C20" s="58"/>
      <c r="D20" s="58"/>
      <c r="E20" s="40"/>
      <c r="F20" s="40"/>
      <c r="G20" s="41"/>
      <c r="H20" s="42"/>
      <c r="I20" s="42"/>
      <c r="J20" s="42"/>
      <c r="K20" s="43"/>
      <c r="L20" s="44"/>
      <c r="P20" s="56" t="str">
        <f t="shared" ref="P20:S20" si="24">D13</f>
        <v/>
      </c>
      <c r="Q20" s="50" t="str">
        <f t="shared" si="24"/>
        <v/>
      </c>
      <c r="R20" s="32" t="str">
        <f t="shared" si="24"/>
        <v/>
      </c>
      <c r="S20" s="21">
        <f t="shared" si="24"/>
        <v>0</v>
      </c>
      <c r="T20" s="57">
        <f t="shared" si="15"/>
        <v>0</v>
      </c>
    </row>
    <row r="21" ht="15.75" customHeight="1">
      <c r="B21" s="29"/>
      <c r="C21" s="58"/>
      <c r="D21" s="58"/>
      <c r="E21" s="40"/>
      <c r="F21" s="40"/>
      <c r="G21" s="41"/>
      <c r="H21" s="42"/>
      <c r="I21" s="42"/>
      <c r="J21" s="42"/>
      <c r="K21" s="43"/>
      <c r="L21" s="44"/>
      <c r="R21" s="35"/>
    </row>
    <row r="22" ht="15.75" customHeight="1">
      <c r="B22" s="29"/>
      <c r="C22" s="58"/>
      <c r="D22" s="58"/>
      <c r="E22" s="40"/>
      <c r="F22" s="40"/>
      <c r="G22" s="41"/>
      <c r="H22" s="42"/>
      <c r="I22" s="42"/>
      <c r="J22" s="42"/>
      <c r="K22" s="43"/>
      <c r="L22" s="44"/>
      <c r="R22" s="35"/>
    </row>
    <row r="23" ht="15.75" customHeight="1">
      <c r="B23" s="29"/>
      <c r="C23" s="58"/>
      <c r="D23" s="58"/>
      <c r="E23" s="40"/>
      <c r="F23" s="40"/>
      <c r="G23" s="41"/>
      <c r="H23" s="42"/>
      <c r="I23" s="42"/>
      <c r="J23" s="42"/>
      <c r="K23" s="43"/>
      <c r="L23" s="44"/>
      <c r="R23" s="35"/>
    </row>
    <row r="24" ht="15.75" customHeight="1">
      <c r="B24" s="29"/>
      <c r="C24" s="58"/>
      <c r="D24" s="58"/>
      <c r="E24" s="40"/>
      <c r="F24" s="40"/>
      <c r="G24" s="41"/>
      <c r="H24" s="42"/>
      <c r="I24" s="42"/>
      <c r="J24" s="42"/>
      <c r="K24" s="43"/>
      <c r="L24" s="44"/>
    </row>
    <row r="25" ht="15.75" customHeight="1">
      <c r="B25" s="29"/>
      <c r="C25" s="58"/>
      <c r="D25" s="58"/>
      <c r="E25" s="40"/>
      <c r="F25" s="40"/>
      <c r="G25" s="41"/>
      <c r="H25" s="42"/>
      <c r="I25" s="42"/>
      <c r="J25" s="42"/>
      <c r="K25" s="43"/>
      <c r="L25" s="44"/>
    </row>
    <row r="26" ht="15.75" customHeight="1">
      <c r="B26" s="29"/>
      <c r="C26" s="58"/>
      <c r="D26" s="58"/>
      <c r="E26" s="40"/>
      <c r="F26" s="40"/>
      <c r="G26" s="41"/>
      <c r="H26" s="42"/>
      <c r="I26" s="42"/>
      <c r="J26" s="42"/>
      <c r="K26" s="43"/>
      <c r="L26" s="44"/>
    </row>
    <row r="27" ht="15.75" customHeight="1">
      <c r="B27" s="29"/>
      <c r="C27" s="58"/>
      <c r="D27" s="58"/>
      <c r="E27" s="40"/>
      <c r="F27" s="40"/>
      <c r="G27" s="41"/>
      <c r="H27" s="42"/>
      <c r="I27" s="42"/>
      <c r="J27" s="42"/>
      <c r="K27" s="43"/>
      <c r="L27" s="44"/>
      <c r="R27" s="35"/>
    </row>
    <row r="28" ht="15.75" customHeight="1">
      <c r="B28" s="29"/>
      <c r="C28" s="58"/>
      <c r="D28" s="58"/>
      <c r="E28" s="40"/>
      <c r="F28" s="40"/>
      <c r="G28" s="41"/>
      <c r="H28" s="42"/>
      <c r="I28" s="42"/>
      <c r="J28" s="42"/>
      <c r="K28" s="43"/>
      <c r="L28" s="44"/>
      <c r="R28" s="35"/>
    </row>
    <row r="29" ht="15.75" customHeight="1">
      <c r="B29" s="29"/>
      <c r="C29" s="58"/>
      <c r="D29" s="58"/>
      <c r="E29" s="40"/>
      <c r="F29" s="40"/>
      <c r="G29" s="41"/>
      <c r="H29" s="42"/>
      <c r="I29" s="42"/>
      <c r="J29" s="42"/>
      <c r="K29" s="43"/>
      <c r="L29" s="44"/>
      <c r="R29" s="35"/>
    </row>
    <row r="30" ht="15.75" customHeight="1">
      <c r="B30" s="29"/>
      <c r="C30" s="58"/>
      <c r="D30" s="58"/>
      <c r="E30" s="40"/>
      <c r="F30" s="40"/>
      <c r="G30" s="41"/>
      <c r="H30" s="42"/>
      <c r="I30" s="42"/>
      <c r="J30" s="42"/>
      <c r="K30" s="43"/>
      <c r="L30" s="44"/>
      <c r="R30" s="35"/>
    </row>
    <row r="31" ht="15.75" customHeight="1">
      <c r="B31" s="29"/>
      <c r="C31" s="58"/>
      <c r="D31" s="58"/>
      <c r="E31" s="40"/>
      <c r="F31" s="40"/>
      <c r="G31" s="41"/>
      <c r="H31" s="42"/>
      <c r="I31" s="42"/>
      <c r="J31" s="42"/>
      <c r="K31" s="43"/>
      <c r="L31" s="44"/>
      <c r="R31" s="35"/>
    </row>
    <row r="32" ht="15.75" customHeight="1">
      <c r="B32" s="29"/>
      <c r="C32" s="58"/>
      <c r="D32" s="58"/>
      <c r="E32" s="40"/>
      <c r="F32" s="40"/>
      <c r="G32" s="41"/>
      <c r="H32" s="42"/>
      <c r="I32" s="42"/>
      <c r="J32" s="42"/>
      <c r="K32" s="43"/>
      <c r="L32" s="44"/>
      <c r="R32" s="35"/>
    </row>
    <row r="33" ht="15.75" customHeight="1">
      <c r="B33" s="29"/>
      <c r="C33" s="58"/>
      <c r="D33" s="58"/>
      <c r="E33" s="40"/>
      <c r="F33" s="40"/>
      <c r="G33" s="41"/>
      <c r="H33" s="42"/>
      <c r="I33" s="42"/>
      <c r="J33" s="42"/>
      <c r="K33" s="43"/>
      <c r="L33" s="44"/>
      <c r="R33" s="35"/>
    </row>
    <row r="34" ht="15.75" customHeight="1">
      <c r="B34" s="29"/>
      <c r="C34" s="58"/>
      <c r="D34" s="58"/>
      <c r="E34" s="40"/>
      <c r="F34" s="40"/>
      <c r="G34" s="41"/>
      <c r="H34" s="42"/>
      <c r="I34" s="42"/>
      <c r="J34" s="42"/>
      <c r="K34" s="43"/>
      <c r="L34" s="44"/>
      <c r="R34" s="35"/>
    </row>
    <row r="35" ht="15.75" customHeight="1">
      <c r="B35" s="29"/>
      <c r="C35" s="58"/>
      <c r="D35" s="58"/>
      <c r="E35" s="40"/>
      <c r="F35" s="40"/>
      <c r="G35" s="41"/>
      <c r="H35" s="42"/>
      <c r="I35" s="42"/>
      <c r="J35" s="42"/>
      <c r="K35" s="43"/>
      <c r="L35" s="44"/>
      <c r="R35" s="35"/>
    </row>
    <row r="36" ht="15.75" customHeight="1">
      <c r="B36" s="29"/>
      <c r="C36" s="58"/>
      <c r="D36" s="58"/>
      <c r="E36" s="40"/>
      <c r="F36" s="40"/>
      <c r="G36" s="41"/>
      <c r="H36" s="42"/>
      <c r="I36" s="42"/>
      <c r="J36" s="42"/>
      <c r="K36" s="43"/>
      <c r="L36" s="44"/>
      <c r="R36" s="35"/>
    </row>
    <row r="37" ht="15.75" customHeight="1">
      <c r="B37" s="59"/>
      <c r="D37" s="60"/>
      <c r="E37" s="59"/>
      <c r="F37" s="59">
        <f t="shared" ref="F37:G37" si="25">SUM(F4:F36)</f>
        <v>8</v>
      </c>
      <c r="G37" s="61">
        <f t="shared" si="25"/>
        <v>1</v>
      </c>
      <c r="H37" s="62">
        <f>SUM(H4:H36)/COUNTA(D4:D36)</f>
        <v>0.25</v>
      </c>
      <c r="I37" s="63">
        <f t="shared" ref="I37:J37" si="26">AVERAGE(I4:I36)</f>
        <v>0.183</v>
      </c>
      <c r="J37" s="63">
        <f t="shared" si="26"/>
        <v>0.018</v>
      </c>
      <c r="K37" s="64">
        <f t="shared" ref="K37:L37" si="27">SUM(K4:K36)/$F$37</f>
        <v>0.22875</v>
      </c>
      <c r="L37" s="65">
        <f t="shared" si="27"/>
        <v>0.0225</v>
      </c>
    </row>
    <row r="38" ht="15.75" customHeight="1">
      <c r="B38" s="59"/>
      <c r="D38" s="60"/>
      <c r="E38" s="59"/>
      <c r="F38" s="59"/>
      <c r="G38" s="61"/>
      <c r="H38" s="63"/>
      <c r="I38" s="63"/>
      <c r="J38" s="63"/>
      <c r="K38" s="63"/>
      <c r="L38" s="63"/>
    </row>
    <row r="39" ht="15.75" customHeight="1">
      <c r="B39" s="59"/>
      <c r="D39" s="60"/>
      <c r="E39" s="59"/>
      <c r="F39" s="59"/>
      <c r="G39" s="61"/>
      <c r="H39" s="63"/>
      <c r="I39" s="63"/>
      <c r="J39" s="63"/>
      <c r="K39" s="63"/>
      <c r="L39" s="63"/>
    </row>
    <row r="40" ht="15.75" customHeight="1">
      <c r="B40" s="59"/>
      <c r="D40" s="60"/>
      <c r="E40" s="59"/>
      <c r="F40" s="59"/>
      <c r="G40" s="61"/>
      <c r="H40" s="63"/>
      <c r="I40" s="63"/>
      <c r="J40" s="63"/>
      <c r="K40" s="63"/>
      <c r="L40" s="63"/>
    </row>
    <row r="41" ht="15.75" customHeight="1">
      <c r="B41" s="59"/>
      <c r="D41" s="60"/>
      <c r="E41" s="59"/>
      <c r="F41" s="59"/>
      <c r="G41" s="61"/>
      <c r="H41" s="63"/>
      <c r="I41" s="63"/>
      <c r="J41" s="63"/>
      <c r="K41" s="63"/>
      <c r="L41" s="63"/>
    </row>
    <row r="42" ht="15.75" customHeight="1">
      <c r="B42" s="59"/>
      <c r="D42" s="60"/>
      <c r="E42" s="59"/>
      <c r="F42" s="59"/>
      <c r="G42" s="61"/>
      <c r="H42" s="63"/>
      <c r="I42" s="63"/>
      <c r="J42" s="63"/>
      <c r="K42" s="63"/>
      <c r="L42" s="63"/>
    </row>
    <row r="43" ht="15.75" customHeight="1">
      <c r="B43" s="59"/>
      <c r="D43" s="60"/>
      <c r="E43" s="59"/>
      <c r="F43" s="59"/>
      <c r="G43" s="61"/>
      <c r="H43" s="63"/>
      <c r="I43" s="63"/>
      <c r="J43" s="63"/>
      <c r="K43" s="63"/>
      <c r="L43" s="63"/>
    </row>
    <row r="44" ht="15.75" customHeight="1">
      <c r="B44" s="59"/>
      <c r="D44" s="60"/>
      <c r="E44" s="59"/>
      <c r="F44" s="59"/>
      <c r="G44" s="61"/>
      <c r="H44" s="63"/>
      <c r="I44" s="63"/>
      <c r="J44" s="63"/>
      <c r="K44" s="63"/>
      <c r="L44" s="63"/>
    </row>
    <row r="45" ht="15.75" customHeight="1">
      <c r="B45" s="59"/>
      <c r="D45" s="60"/>
      <c r="E45" s="59"/>
      <c r="F45" s="59"/>
      <c r="G45" s="61"/>
      <c r="H45" s="63"/>
      <c r="I45" s="63"/>
      <c r="J45" s="63"/>
      <c r="K45" s="63"/>
      <c r="L45" s="63"/>
    </row>
    <row r="46" ht="15.75" customHeight="1">
      <c r="B46" s="59"/>
      <c r="D46" s="60"/>
      <c r="E46" s="59"/>
      <c r="F46" s="59"/>
      <c r="G46" s="61"/>
      <c r="H46" s="63"/>
      <c r="I46" s="63"/>
      <c r="J46" s="63"/>
      <c r="K46" s="63"/>
      <c r="L46" s="63"/>
    </row>
    <row r="47" ht="15.75" customHeight="1">
      <c r="B47" s="59"/>
      <c r="D47" s="60"/>
      <c r="E47" s="59"/>
      <c r="F47" s="59"/>
      <c r="G47" s="61"/>
      <c r="H47" s="63"/>
      <c r="I47" s="63"/>
      <c r="J47" s="63"/>
      <c r="K47" s="63"/>
      <c r="L47" s="63"/>
    </row>
    <row r="48" ht="15.75" customHeight="1">
      <c r="B48" s="59"/>
      <c r="D48" s="60"/>
      <c r="E48" s="59"/>
      <c r="F48" s="59"/>
      <c r="G48" s="61"/>
      <c r="H48" s="63"/>
      <c r="I48" s="63"/>
      <c r="J48" s="63"/>
      <c r="K48" s="63"/>
      <c r="L48" s="63"/>
    </row>
    <row r="49" ht="15.75" customHeight="1">
      <c r="B49" s="59"/>
      <c r="D49" s="60"/>
      <c r="E49" s="59"/>
      <c r="F49" s="59"/>
      <c r="G49" s="61"/>
      <c r="H49" s="63"/>
      <c r="I49" s="63"/>
      <c r="J49" s="63"/>
      <c r="K49" s="63"/>
      <c r="L49" s="63"/>
    </row>
    <row r="50" ht="15.75" customHeight="1">
      <c r="B50" s="59"/>
      <c r="D50" s="60"/>
      <c r="E50" s="59"/>
      <c r="F50" s="59"/>
      <c r="G50" s="61"/>
      <c r="H50" s="63"/>
      <c r="I50" s="63"/>
      <c r="J50" s="63"/>
      <c r="K50" s="63"/>
      <c r="L50" s="63"/>
    </row>
    <row r="51" ht="15.75" customHeight="1">
      <c r="B51" s="59"/>
      <c r="D51" s="60"/>
      <c r="E51" s="59"/>
      <c r="F51" s="59"/>
      <c r="G51" s="61"/>
      <c r="H51" s="63"/>
      <c r="I51" s="63"/>
      <c r="J51" s="63"/>
      <c r="K51" s="63"/>
      <c r="L51" s="63"/>
    </row>
    <row r="52" ht="15.75" customHeight="1">
      <c r="B52" s="59"/>
      <c r="D52" s="60"/>
      <c r="E52" s="59"/>
      <c r="F52" s="59"/>
      <c r="G52" s="61"/>
      <c r="H52" s="63"/>
      <c r="I52" s="63"/>
      <c r="J52" s="63"/>
      <c r="K52" s="63"/>
      <c r="L52" s="63"/>
    </row>
    <row r="53" ht="15.75" customHeight="1">
      <c r="B53" s="59"/>
      <c r="D53" s="60"/>
      <c r="E53" s="59"/>
      <c r="F53" s="59"/>
      <c r="G53" s="61"/>
      <c r="H53" s="63"/>
      <c r="I53" s="63"/>
      <c r="J53" s="63"/>
      <c r="K53" s="63"/>
      <c r="L53" s="63"/>
    </row>
    <row r="54" ht="15.75" customHeight="1">
      <c r="B54" s="59"/>
      <c r="D54" s="60"/>
      <c r="E54" s="59"/>
      <c r="F54" s="59"/>
      <c r="G54" s="61"/>
      <c r="H54" s="63"/>
      <c r="I54" s="63"/>
      <c r="J54" s="63"/>
      <c r="K54" s="63"/>
      <c r="L54" s="63"/>
    </row>
    <row r="55" ht="15.75" customHeight="1">
      <c r="B55" s="59"/>
      <c r="D55" s="60"/>
      <c r="E55" s="59"/>
      <c r="F55" s="59"/>
      <c r="G55" s="61"/>
      <c r="H55" s="63"/>
      <c r="I55" s="63"/>
      <c r="J55" s="63"/>
      <c r="K55" s="63"/>
      <c r="L55" s="63"/>
    </row>
    <row r="56" ht="15.75" customHeight="1">
      <c r="B56" s="59"/>
      <c r="D56" s="60"/>
      <c r="E56" s="59"/>
      <c r="F56" s="59"/>
      <c r="G56" s="61"/>
      <c r="H56" s="63"/>
      <c r="I56" s="63"/>
      <c r="J56" s="63"/>
      <c r="K56" s="63"/>
      <c r="L56" s="63"/>
    </row>
    <row r="57" ht="15.75" customHeight="1">
      <c r="B57" s="59"/>
      <c r="D57" s="60"/>
      <c r="E57" s="59"/>
      <c r="F57" s="59"/>
      <c r="G57" s="61"/>
      <c r="H57" s="63"/>
      <c r="I57" s="63"/>
      <c r="J57" s="63"/>
      <c r="K57" s="63"/>
      <c r="L57" s="63"/>
    </row>
    <row r="58" ht="15.75" customHeight="1">
      <c r="B58" s="59"/>
      <c r="D58" s="60"/>
      <c r="E58" s="59"/>
      <c r="F58" s="59"/>
      <c r="G58" s="61"/>
      <c r="H58" s="63"/>
      <c r="I58" s="63"/>
      <c r="J58" s="63"/>
      <c r="K58" s="63"/>
      <c r="L58" s="63"/>
    </row>
    <row r="59" ht="15.75" customHeight="1">
      <c r="B59" s="59"/>
      <c r="D59" s="60"/>
      <c r="E59" s="59"/>
      <c r="F59" s="59"/>
      <c r="G59" s="61"/>
      <c r="H59" s="63"/>
      <c r="I59" s="63"/>
      <c r="J59" s="63"/>
      <c r="K59" s="63"/>
      <c r="L59" s="63"/>
    </row>
    <row r="60" ht="15.75" customHeight="1">
      <c r="A60" s="66" t="s">
        <v>117</v>
      </c>
      <c r="B60" s="67"/>
      <c r="C60" s="68"/>
    </row>
    <row r="61" ht="15.75" customHeight="1"/>
    <row r="62" ht="15.75" customHeight="1"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</row>
    <row r="63" ht="15.75" customHeight="1">
      <c r="E63" s="29"/>
      <c r="F63" s="69" t="s">
        <v>118</v>
      </c>
      <c r="G63" s="70"/>
      <c r="H63" s="70"/>
      <c r="I63" s="70"/>
      <c r="J63" s="71"/>
      <c r="K63" s="69" t="s">
        <v>119</v>
      </c>
      <c r="L63" s="70"/>
      <c r="M63" s="70"/>
      <c r="N63" s="71"/>
      <c r="O63" s="29"/>
    </row>
    <row r="64" ht="15.75" customHeight="1">
      <c r="D64" s="29" t="s">
        <v>81</v>
      </c>
      <c r="E64" s="29"/>
      <c r="F64" s="72" t="s">
        <v>118</v>
      </c>
      <c r="G64" s="29" t="s">
        <v>16</v>
      </c>
      <c r="H64" s="29" t="s">
        <v>17</v>
      </c>
      <c r="I64" s="29" t="s">
        <v>18</v>
      </c>
      <c r="J64" s="73" t="s">
        <v>120</v>
      </c>
      <c r="K64" s="72" t="s">
        <v>121</v>
      </c>
      <c r="L64" s="29" t="s">
        <v>122</v>
      </c>
      <c r="M64" s="29" t="s">
        <v>123</v>
      </c>
      <c r="N64" s="73" t="s">
        <v>124</v>
      </c>
      <c r="O64" s="74" t="s">
        <v>125</v>
      </c>
      <c r="P64" s="75" t="s">
        <v>126</v>
      </c>
      <c r="Q64" s="76" t="s">
        <v>127</v>
      </c>
      <c r="R64" s="41" t="s">
        <v>128</v>
      </c>
      <c r="S64" s="77" t="s">
        <v>129</v>
      </c>
      <c r="T64" s="29" t="s">
        <v>130</v>
      </c>
      <c r="U64" s="29" t="s">
        <v>131</v>
      </c>
      <c r="V64" s="29" t="s">
        <v>132</v>
      </c>
      <c r="W64" s="29" t="s">
        <v>133</v>
      </c>
      <c r="X64" s="29" t="s">
        <v>134</v>
      </c>
      <c r="Y64" s="29" t="s">
        <v>14</v>
      </c>
      <c r="Z64" s="29" t="s">
        <v>15</v>
      </c>
      <c r="AA64" s="29" t="s">
        <v>135</v>
      </c>
      <c r="AB64" s="29" t="s">
        <v>136</v>
      </c>
      <c r="AC64" s="29" t="s">
        <v>121</v>
      </c>
    </row>
    <row r="65" ht="15.75" customHeight="1">
      <c r="C65" s="15" t="str">
        <f t="shared" ref="C65:C74" si="29">E4</f>
        <v>Sprint</v>
      </c>
      <c r="D65" s="78" t="str">
        <f t="shared" ref="D65:D74" si="30">D4</f>
        <v>Story 1</v>
      </c>
      <c r="E65" s="79"/>
      <c r="F65" s="80">
        <v>0.0</v>
      </c>
      <c r="G65" s="81">
        <v>0.0</v>
      </c>
      <c r="H65" s="82">
        <v>0.0</v>
      </c>
      <c r="I65" s="82">
        <v>0.0</v>
      </c>
      <c r="J65" s="83">
        <v>0.0</v>
      </c>
      <c r="K65" s="84">
        <v>0.0</v>
      </c>
      <c r="L65" s="82">
        <v>0.0</v>
      </c>
      <c r="M65" s="82">
        <v>0.0</v>
      </c>
      <c r="N65" s="85">
        <v>0.0</v>
      </c>
      <c r="O65" s="86">
        <v>1.0</v>
      </c>
      <c r="P65" s="87">
        <f t="shared" ref="P65:S65" si="28">IF(NOT(OR($F65=0,ISBLANK($F65))), G65/$F65,0)</f>
        <v>0</v>
      </c>
      <c r="Q65" s="42">
        <f t="shared" si="28"/>
        <v>0</v>
      </c>
      <c r="R65" s="42">
        <f t="shared" si="28"/>
        <v>0</v>
      </c>
      <c r="S65" s="42">
        <f t="shared" si="28"/>
        <v>0</v>
      </c>
      <c r="T65" s="41">
        <f t="shared" ref="T65:T84" si="32">IF(AND(NOT(ISBLANK($F65)),P65&gt;=O65,OR(ISBLANK(L65),L65=0),OR(ISBLANK(M65),M65=0)),1,0)</f>
        <v>0</v>
      </c>
      <c r="U65" s="42">
        <v>1.0</v>
      </c>
      <c r="V65" s="42">
        <f t="shared" ref="V65:V84" si="33">IF(NOT(OR($F65=0,ISBLANK($F65))),SUM(G65:I65)/$F65,0)</f>
        <v>0</v>
      </c>
      <c r="W65" s="42">
        <f t="shared" ref="W65:W84" si="34">U65-V65</f>
        <v>1</v>
      </c>
      <c r="X65" s="42">
        <f t="shared" ref="X65:X84" si="35">100%-U65</f>
        <v>0</v>
      </c>
      <c r="Y65" s="20">
        <f t="shared" ref="Y65:Y84" si="36">F65*U65</f>
        <v>0</v>
      </c>
      <c r="Z65" s="20">
        <f t="shared" ref="Z65:Z84" si="37">SUM(G65:I65)</f>
        <v>0</v>
      </c>
      <c r="AA65" s="20">
        <f t="shared" ref="AA65:AA84" si="38">Y65-Z65</f>
        <v>0</v>
      </c>
      <c r="AB65" s="88">
        <f t="shared" ref="AB65:AB84" si="39">F65-Y65</f>
        <v>0</v>
      </c>
      <c r="AC65" s="89">
        <f t="shared" ref="AC65:AC85" si="40">SUM(Z65:AB65)</f>
        <v>0</v>
      </c>
    </row>
    <row r="66" ht="15.75" customHeight="1">
      <c r="C66" s="15" t="str">
        <f t="shared" si="29"/>
        <v>Sprint</v>
      </c>
      <c r="D66" s="15" t="str">
        <f t="shared" si="30"/>
        <v>Story 3</v>
      </c>
      <c r="E66" s="90"/>
      <c r="F66" s="91">
        <v>0.0</v>
      </c>
      <c r="G66" s="92"/>
      <c r="H66" s="92"/>
      <c r="I66" s="93"/>
      <c r="J66" s="94">
        <f t="shared" ref="J66:J74" si="41">F66-(G66+H66+I66)</f>
        <v>0</v>
      </c>
      <c r="K66" s="95">
        <f t="shared" ref="K66:K74" si="42">SUM(L66:N66)</f>
        <v>0</v>
      </c>
      <c r="L66" s="92"/>
      <c r="M66" s="92"/>
      <c r="N66" s="96"/>
      <c r="O66" s="97">
        <v>1.0</v>
      </c>
      <c r="P66" s="42">
        <f t="shared" ref="P66:S66" si="31">IF(NOT(OR($F66=0,ISBLANK($F66))), G66/$F66,0)</f>
        <v>0</v>
      </c>
      <c r="Q66" s="42">
        <f t="shared" si="31"/>
        <v>0</v>
      </c>
      <c r="R66" s="42">
        <f t="shared" si="31"/>
        <v>0</v>
      </c>
      <c r="S66" s="42">
        <f t="shared" si="31"/>
        <v>0</v>
      </c>
      <c r="T66" s="41">
        <f t="shared" si="32"/>
        <v>0</v>
      </c>
      <c r="U66" s="42">
        <v>1.0</v>
      </c>
      <c r="V66" s="42">
        <f t="shared" si="33"/>
        <v>0</v>
      </c>
      <c r="W66" s="42">
        <f t="shared" si="34"/>
        <v>1</v>
      </c>
      <c r="X66" s="42">
        <f t="shared" si="35"/>
        <v>0</v>
      </c>
      <c r="Y66" s="20">
        <f t="shared" si="36"/>
        <v>0</v>
      </c>
      <c r="Z66" s="20">
        <f t="shared" si="37"/>
        <v>0</v>
      </c>
      <c r="AA66" s="20">
        <f t="shared" si="38"/>
        <v>0</v>
      </c>
      <c r="AB66" s="88">
        <f t="shared" si="39"/>
        <v>0</v>
      </c>
      <c r="AC66" s="89">
        <f t="shared" si="40"/>
        <v>0</v>
      </c>
    </row>
    <row r="67" ht="15.75" customHeight="1">
      <c r="C67" s="15" t="str">
        <f t="shared" si="29"/>
        <v>Sprint</v>
      </c>
      <c r="D67" s="15" t="str">
        <f t="shared" si="30"/>
        <v>Story 4</v>
      </c>
      <c r="E67" s="90"/>
      <c r="F67" s="91">
        <v>0.0</v>
      </c>
      <c r="G67" s="92"/>
      <c r="H67" s="92"/>
      <c r="I67" s="93"/>
      <c r="J67" s="98">
        <f t="shared" si="41"/>
        <v>0</v>
      </c>
      <c r="K67" s="99">
        <f t="shared" si="42"/>
        <v>0</v>
      </c>
      <c r="L67" s="92"/>
      <c r="M67" s="92"/>
      <c r="N67" s="100"/>
      <c r="O67" s="97">
        <v>1.0</v>
      </c>
      <c r="P67" s="42">
        <f t="shared" ref="P67:S67" si="43">IF(NOT(OR($F67=0,ISBLANK($F67))), G67/$F67,0)</f>
        <v>0</v>
      </c>
      <c r="Q67" s="42">
        <f t="shared" si="43"/>
        <v>0</v>
      </c>
      <c r="R67" s="42">
        <f t="shared" si="43"/>
        <v>0</v>
      </c>
      <c r="S67" s="42">
        <f t="shared" si="43"/>
        <v>0</v>
      </c>
      <c r="T67" s="41">
        <f t="shared" si="32"/>
        <v>0</v>
      </c>
      <c r="U67" s="42">
        <v>1.0</v>
      </c>
      <c r="V67" s="42">
        <f t="shared" si="33"/>
        <v>0</v>
      </c>
      <c r="W67" s="42">
        <f t="shared" si="34"/>
        <v>1</v>
      </c>
      <c r="X67" s="42">
        <f t="shared" si="35"/>
        <v>0</v>
      </c>
      <c r="Y67" s="20">
        <f t="shared" si="36"/>
        <v>0</v>
      </c>
      <c r="Z67" s="20">
        <f t="shared" si="37"/>
        <v>0</v>
      </c>
      <c r="AA67" s="20">
        <f t="shared" si="38"/>
        <v>0</v>
      </c>
      <c r="AB67" s="88">
        <f t="shared" si="39"/>
        <v>0</v>
      </c>
      <c r="AC67" s="89">
        <f t="shared" si="40"/>
        <v>0</v>
      </c>
    </row>
    <row r="68" ht="15.75" customHeight="1">
      <c r="C68" s="15" t="str">
        <f t="shared" si="29"/>
        <v>Sprint</v>
      </c>
      <c r="D68" s="15" t="str">
        <f t="shared" si="30"/>
        <v>Story 5</v>
      </c>
      <c r="E68" s="90"/>
      <c r="F68" s="91">
        <v>0.0</v>
      </c>
      <c r="G68" s="92"/>
      <c r="H68" s="92"/>
      <c r="I68" s="93"/>
      <c r="J68" s="98">
        <f t="shared" si="41"/>
        <v>0</v>
      </c>
      <c r="K68" s="99">
        <f t="shared" si="42"/>
        <v>0</v>
      </c>
      <c r="L68" s="92"/>
      <c r="M68" s="92"/>
      <c r="N68" s="96"/>
      <c r="O68" s="97">
        <v>1.0</v>
      </c>
      <c r="P68" s="42">
        <f t="shared" ref="P68:S68" si="44">IF(NOT(OR($F68=0,ISBLANK($F68))), G68/$F68,0)</f>
        <v>0</v>
      </c>
      <c r="Q68" s="42">
        <f t="shared" si="44"/>
        <v>0</v>
      </c>
      <c r="R68" s="42">
        <f t="shared" si="44"/>
        <v>0</v>
      </c>
      <c r="S68" s="42">
        <f t="shared" si="44"/>
        <v>0</v>
      </c>
      <c r="T68" s="41">
        <f t="shared" si="32"/>
        <v>0</v>
      </c>
      <c r="U68" s="42">
        <v>1.0</v>
      </c>
      <c r="V68" s="42">
        <f t="shared" si="33"/>
        <v>0</v>
      </c>
      <c r="W68" s="42">
        <f t="shared" si="34"/>
        <v>1</v>
      </c>
      <c r="X68" s="42">
        <f t="shared" si="35"/>
        <v>0</v>
      </c>
      <c r="Y68" s="20">
        <f t="shared" si="36"/>
        <v>0</v>
      </c>
      <c r="Z68" s="20">
        <f t="shared" si="37"/>
        <v>0</v>
      </c>
      <c r="AA68" s="20">
        <f t="shared" si="38"/>
        <v>0</v>
      </c>
      <c r="AB68" s="88">
        <f t="shared" si="39"/>
        <v>0</v>
      </c>
      <c r="AC68" s="89">
        <f t="shared" si="40"/>
        <v>0</v>
      </c>
    </row>
    <row r="69" ht="15.75" customHeight="1">
      <c r="C69" s="15" t="str">
        <f t="shared" si="29"/>
        <v>Sprint</v>
      </c>
      <c r="D69" s="15" t="str">
        <f t="shared" si="30"/>
        <v>Story 6</v>
      </c>
      <c r="E69" s="90"/>
      <c r="F69" s="91">
        <v>0.0</v>
      </c>
      <c r="G69" s="92"/>
      <c r="H69" s="92"/>
      <c r="I69" s="93"/>
      <c r="J69" s="98">
        <f t="shared" si="41"/>
        <v>0</v>
      </c>
      <c r="K69" s="99">
        <f t="shared" si="42"/>
        <v>0</v>
      </c>
      <c r="L69" s="92"/>
      <c r="M69" s="101"/>
      <c r="N69" s="102"/>
      <c r="O69" s="97">
        <v>1.0</v>
      </c>
      <c r="P69" s="42">
        <f t="shared" ref="P69:S69" si="45">IF(NOT(OR($F69=0,ISBLANK($F69))), G69/$F69,0)</f>
        <v>0</v>
      </c>
      <c r="Q69" s="42">
        <f t="shared" si="45"/>
        <v>0</v>
      </c>
      <c r="R69" s="42">
        <f t="shared" si="45"/>
        <v>0</v>
      </c>
      <c r="S69" s="42">
        <f t="shared" si="45"/>
        <v>0</v>
      </c>
      <c r="T69" s="41">
        <f t="shared" si="32"/>
        <v>0</v>
      </c>
      <c r="U69" s="42">
        <v>1.0</v>
      </c>
      <c r="V69" s="42">
        <f t="shared" si="33"/>
        <v>0</v>
      </c>
      <c r="W69" s="42">
        <f t="shared" si="34"/>
        <v>1</v>
      </c>
      <c r="X69" s="42">
        <f t="shared" si="35"/>
        <v>0</v>
      </c>
      <c r="Y69" s="20">
        <f t="shared" si="36"/>
        <v>0</v>
      </c>
      <c r="Z69" s="20">
        <f t="shared" si="37"/>
        <v>0</v>
      </c>
      <c r="AA69" s="20">
        <f t="shared" si="38"/>
        <v>0</v>
      </c>
      <c r="AB69" s="88">
        <f t="shared" si="39"/>
        <v>0</v>
      </c>
      <c r="AC69" s="89">
        <f t="shared" si="40"/>
        <v>0</v>
      </c>
    </row>
    <row r="70" ht="15.75" customHeight="1">
      <c r="C70" s="15" t="str">
        <f t="shared" si="29"/>
        <v>Sprint</v>
      </c>
      <c r="D70" s="15" t="str">
        <f t="shared" si="30"/>
        <v>Story 7</v>
      </c>
      <c r="E70" s="90"/>
      <c r="F70" s="91">
        <v>8.0</v>
      </c>
      <c r="G70" s="103">
        <v>8.0</v>
      </c>
      <c r="H70" s="103"/>
      <c r="I70" s="103"/>
      <c r="J70" s="98">
        <f t="shared" si="41"/>
        <v>0</v>
      </c>
      <c r="K70" s="99">
        <f t="shared" si="42"/>
        <v>0</v>
      </c>
      <c r="L70" s="103"/>
      <c r="M70" s="103"/>
      <c r="N70" s="103"/>
      <c r="O70" s="97">
        <v>1.0</v>
      </c>
      <c r="P70" s="42">
        <f t="shared" ref="P70:S70" si="46">IF(NOT(OR($F70=0,ISBLANK($F70))), G70/$F70,0)</f>
        <v>1</v>
      </c>
      <c r="Q70" s="42">
        <f t="shared" si="46"/>
        <v>0</v>
      </c>
      <c r="R70" s="42">
        <f t="shared" si="46"/>
        <v>0</v>
      </c>
      <c r="S70" s="42">
        <f t="shared" si="46"/>
        <v>0</v>
      </c>
      <c r="T70" s="41">
        <f t="shared" si="32"/>
        <v>1</v>
      </c>
      <c r="U70" s="42">
        <v>1.0</v>
      </c>
      <c r="V70" s="42">
        <f t="shared" si="33"/>
        <v>1</v>
      </c>
      <c r="W70" s="42">
        <f t="shared" si="34"/>
        <v>0</v>
      </c>
      <c r="X70" s="42">
        <f t="shared" si="35"/>
        <v>0</v>
      </c>
      <c r="Y70" s="20">
        <f t="shared" si="36"/>
        <v>8</v>
      </c>
      <c r="Z70" s="20">
        <f t="shared" si="37"/>
        <v>8</v>
      </c>
      <c r="AA70" s="20">
        <f t="shared" si="38"/>
        <v>0</v>
      </c>
      <c r="AB70" s="88">
        <f t="shared" si="39"/>
        <v>0</v>
      </c>
      <c r="AC70" s="89">
        <f t="shared" si="40"/>
        <v>8</v>
      </c>
    </row>
    <row r="71" ht="15.75" customHeight="1">
      <c r="C71" s="15" t="str">
        <f t="shared" si="29"/>
        <v>Sprint</v>
      </c>
      <c r="D71" s="15" t="str">
        <f t="shared" si="30"/>
        <v>Story 8</v>
      </c>
      <c r="E71" s="90"/>
      <c r="F71" s="104">
        <v>22.0</v>
      </c>
      <c r="G71" s="103">
        <v>21.0</v>
      </c>
      <c r="H71" s="103">
        <v>1.0</v>
      </c>
      <c r="I71" s="105"/>
      <c r="J71" s="98">
        <f t="shared" si="41"/>
        <v>0</v>
      </c>
      <c r="K71" s="99">
        <f t="shared" si="42"/>
        <v>1</v>
      </c>
      <c r="L71" s="105"/>
      <c r="M71" s="103">
        <v>1.0</v>
      </c>
      <c r="N71" s="106"/>
      <c r="O71" s="107">
        <v>0.8</v>
      </c>
      <c r="P71" s="42">
        <f t="shared" ref="P71:S71" si="47">IF(NOT(OR($F71=0,ISBLANK($F71))), G71/$F71,0)</f>
        <v>0.9545454545</v>
      </c>
      <c r="Q71" s="42">
        <f t="shared" si="47"/>
        <v>0.04545454545</v>
      </c>
      <c r="R71" s="42">
        <f t="shared" si="47"/>
        <v>0</v>
      </c>
      <c r="S71" s="42">
        <f t="shared" si="47"/>
        <v>0</v>
      </c>
      <c r="T71" s="41">
        <f t="shared" si="32"/>
        <v>0</v>
      </c>
      <c r="U71" s="42">
        <v>1.0</v>
      </c>
      <c r="V71" s="42">
        <f t="shared" si="33"/>
        <v>1</v>
      </c>
      <c r="W71" s="42">
        <f t="shared" si="34"/>
        <v>0</v>
      </c>
      <c r="X71" s="42">
        <f t="shared" si="35"/>
        <v>0</v>
      </c>
      <c r="Y71" s="20">
        <f t="shared" si="36"/>
        <v>22</v>
      </c>
      <c r="Z71" s="20">
        <f t="shared" si="37"/>
        <v>22</v>
      </c>
      <c r="AA71" s="20">
        <f t="shared" si="38"/>
        <v>0</v>
      </c>
      <c r="AB71" s="88">
        <f t="shared" si="39"/>
        <v>0</v>
      </c>
      <c r="AC71" s="89">
        <f t="shared" si="40"/>
        <v>22</v>
      </c>
    </row>
    <row r="72" ht="15.75" customHeight="1">
      <c r="C72" s="15" t="str">
        <f t="shared" si="29"/>
        <v>Sprint</v>
      </c>
      <c r="D72" s="15" t="str">
        <f t="shared" si="30"/>
        <v>Story 9</v>
      </c>
      <c r="E72" s="90"/>
      <c r="F72" s="104"/>
      <c r="G72" s="105"/>
      <c r="H72" s="105"/>
      <c r="I72" s="105"/>
      <c r="J72" s="98">
        <f t="shared" si="41"/>
        <v>0</v>
      </c>
      <c r="K72" s="99">
        <f t="shared" si="42"/>
        <v>0</v>
      </c>
      <c r="L72" s="105"/>
      <c r="M72" s="105"/>
      <c r="N72" s="106"/>
      <c r="O72" s="97"/>
      <c r="P72" s="42">
        <f t="shared" ref="P72:S72" si="48">IF(NOT(OR($F72=0,ISBLANK($F72))), G72/$F72,0)</f>
        <v>0</v>
      </c>
      <c r="Q72" s="42">
        <f t="shared" si="48"/>
        <v>0</v>
      </c>
      <c r="R72" s="42">
        <f t="shared" si="48"/>
        <v>0</v>
      </c>
      <c r="S72" s="42">
        <f t="shared" si="48"/>
        <v>0</v>
      </c>
      <c r="T72" s="41">
        <f t="shared" si="32"/>
        <v>0</v>
      </c>
      <c r="U72" s="42">
        <v>1.0</v>
      </c>
      <c r="V72" s="42">
        <f t="shared" si="33"/>
        <v>0</v>
      </c>
      <c r="W72" s="42">
        <f t="shared" si="34"/>
        <v>1</v>
      </c>
      <c r="X72" s="42">
        <f t="shared" si="35"/>
        <v>0</v>
      </c>
      <c r="Y72" s="20">
        <f t="shared" si="36"/>
        <v>0</v>
      </c>
      <c r="Z72" s="20">
        <f t="shared" si="37"/>
        <v>0</v>
      </c>
      <c r="AA72" s="20">
        <f t="shared" si="38"/>
        <v>0</v>
      </c>
      <c r="AB72" s="88">
        <f t="shared" si="39"/>
        <v>0</v>
      </c>
      <c r="AC72" s="89">
        <f t="shared" si="40"/>
        <v>0</v>
      </c>
    </row>
    <row r="73" ht="15.75" customHeight="1">
      <c r="C73" s="15" t="str">
        <f t="shared" si="29"/>
        <v/>
      </c>
      <c r="D73" s="15" t="str">
        <f t="shared" si="30"/>
        <v/>
      </c>
      <c r="E73" s="90"/>
      <c r="F73" s="104"/>
      <c r="G73" s="105"/>
      <c r="H73" s="105"/>
      <c r="I73" s="105"/>
      <c r="J73" s="98">
        <f t="shared" si="41"/>
        <v>0</v>
      </c>
      <c r="K73" s="99">
        <f t="shared" si="42"/>
        <v>0</v>
      </c>
      <c r="L73" s="105"/>
      <c r="M73" s="105"/>
      <c r="N73" s="106"/>
      <c r="O73" s="97"/>
      <c r="P73" s="42">
        <f t="shared" ref="P73:S73" si="49">IF(NOT(OR($F73=0,ISBLANK($F73))), G73/$F73,0)</f>
        <v>0</v>
      </c>
      <c r="Q73" s="42">
        <f t="shared" si="49"/>
        <v>0</v>
      </c>
      <c r="R73" s="42">
        <f t="shared" si="49"/>
        <v>0</v>
      </c>
      <c r="S73" s="42">
        <f t="shared" si="49"/>
        <v>0</v>
      </c>
      <c r="T73" s="41">
        <f t="shared" si="32"/>
        <v>0</v>
      </c>
      <c r="U73" s="42">
        <v>1.0</v>
      </c>
      <c r="V73" s="42">
        <f t="shared" si="33"/>
        <v>0</v>
      </c>
      <c r="W73" s="42">
        <f t="shared" si="34"/>
        <v>1</v>
      </c>
      <c r="X73" s="42">
        <f t="shared" si="35"/>
        <v>0</v>
      </c>
      <c r="Y73" s="20">
        <f t="shared" si="36"/>
        <v>0</v>
      </c>
      <c r="Z73" s="20">
        <f t="shared" si="37"/>
        <v>0</v>
      </c>
      <c r="AA73" s="20">
        <f t="shared" si="38"/>
        <v>0</v>
      </c>
      <c r="AB73" s="88">
        <f t="shared" si="39"/>
        <v>0</v>
      </c>
      <c r="AC73" s="89">
        <f t="shared" si="40"/>
        <v>0</v>
      </c>
    </row>
    <row r="74" ht="15.75" customHeight="1">
      <c r="C74" s="15" t="str">
        <f t="shared" si="29"/>
        <v/>
      </c>
      <c r="D74" s="15" t="str">
        <f t="shared" si="30"/>
        <v/>
      </c>
      <c r="E74" s="90"/>
      <c r="F74" s="104"/>
      <c r="G74" s="105"/>
      <c r="H74" s="105"/>
      <c r="I74" s="105"/>
      <c r="J74" s="98">
        <f t="shared" si="41"/>
        <v>0</v>
      </c>
      <c r="K74" s="99">
        <f t="shared" si="42"/>
        <v>0</v>
      </c>
      <c r="L74" s="105"/>
      <c r="M74" s="105"/>
      <c r="N74" s="106"/>
      <c r="O74" s="97"/>
      <c r="P74" s="42">
        <f t="shared" ref="P74:S74" si="50">IF(NOT(OR($F74=0,ISBLANK($F74))), G74/$F74,0)</f>
        <v>0</v>
      </c>
      <c r="Q74" s="42">
        <f t="shared" si="50"/>
        <v>0</v>
      </c>
      <c r="R74" s="42">
        <f t="shared" si="50"/>
        <v>0</v>
      </c>
      <c r="S74" s="42">
        <f t="shared" si="50"/>
        <v>0</v>
      </c>
      <c r="T74" s="41">
        <f t="shared" si="32"/>
        <v>0</v>
      </c>
      <c r="U74" s="42">
        <v>1.0</v>
      </c>
      <c r="V74" s="42">
        <f t="shared" si="33"/>
        <v>0</v>
      </c>
      <c r="W74" s="42">
        <f t="shared" si="34"/>
        <v>1</v>
      </c>
      <c r="X74" s="42">
        <f t="shared" si="35"/>
        <v>0</v>
      </c>
      <c r="Y74" s="20">
        <f t="shared" si="36"/>
        <v>0</v>
      </c>
      <c r="Z74" s="20">
        <f t="shared" si="37"/>
        <v>0</v>
      </c>
      <c r="AA74" s="20">
        <f t="shared" si="38"/>
        <v>0</v>
      </c>
      <c r="AB74" s="88">
        <f t="shared" si="39"/>
        <v>0</v>
      </c>
      <c r="AC74" s="89">
        <f t="shared" si="40"/>
        <v>0</v>
      </c>
    </row>
    <row r="75" ht="15.75" customHeight="1">
      <c r="E75" s="90"/>
      <c r="F75" s="104"/>
      <c r="G75" s="105"/>
      <c r="H75" s="105"/>
      <c r="I75" s="105"/>
      <c r="J75" s="98"/>
      <c r="K75" s="99"/>
      <c r="L75" s="105"/>
      <c r="M75" s="105"/>
      <c r="N75" s="106"/>
      <c r="O75" s="97"/>
      <c r="P75" s="42">
        <f t="shared" ref="P75:S75" si="51">IF(NOT(OR($F75=0,ISBLANK($F75))), G75/$F75,0)</f>
        <v>0</v>
      </c>
      <c r="Q75" s="42">
        <f t="shared" si="51"/>
        <v>0</v>
      </c>
      <c r="R75" s="42">
        <f t="shared" si="51"/>
        <v>0</v>
      </c>
      <c r="S75" s="42">
        <f t="shared" si="51"/>
        <v>0</v>
      </c>
      <c r="T75" s="41">
        <f t="shared" si="32"/>
        <v>0</v>
      </c>
      <c r="U75" s="42">
        <v>1.0</v>
      </c>
      <c r="V75" s="42">
        <f t="shared" si="33"/>
        <v>0</v>
      </c>
      <c r="W75" s="42">
        <f t="shared" si="34"/>
        <v>1</v>
      </c>
      <c r="X75" s="42">
        <f t="shared" si="35"/>
        <v>0</v>
      </c>
      <c r="Y75" s="20">
        <f t="shared" si="36"/>
        <v>0</v>
      </c>
      <c r="Z75" s="20">
        <f t="shared" si="37"/>
        <v>0</v>
      </c>
      <c r="AA75" s="20">
        <f t="shared" si="38"/>
        <v>0</v>
      </c>
      <c r="AB75" s="88">
        <f t="shared" si="39"/>
        <v>0</v>
      </c>
      <c r="AC75" s="89">
        <f t="shared" si="40"/>
        <v>0</v>
      </c>
    </row>
    <row r="76" ht="15.75" customHeight="1">
      <c r="E76" s="90"/>
      <c r="F76" s="108"/>
      <c r="G76" s="105"/>
      <c r="H76" s="105"/>
      <c r="I76" s="105"/>
      <c r="J76" s="98"/>
      <c r="K76" s="99"/>
      <c r="L76" s="105"/>
      <c r="M76" s="105"/>
      <c r="N76" s="106"/>
      <c r="O76" s="97"/>
      <c r="P76" s="42">
        <f t="shared" ref="P76:S76" si="52">IF(NOT(OR($F76=0,ISBLANK($F76))), G76/$F76,0)</f>
        <v>0</v>
      </c>
      <c r="Q76" s="42">
        <f t="shared" si="52"/>
        <v>0</v>
      </c>
      <c r="R76" s="42">
        <f t="shared" si="52"/>
        <v>0</v>
      </c>
      <c r="S76" s="42">
        <f t="shared" si="52"/>
        <v>0</v>
      </c>
      <c r="T76" s="41">
        <f t="shared" si="32"/>
        <v>0</v>
      </c>
      <c r="U76" s="42">
        <v>1.0</v>
      </c>
      <c r="V76" s="42">
        <f t="shared" si="33"/>
        <v>0</v>
      </c>
      <c r="W76" s="42">
        <f t="shared" si="34"/>
        <v>1</v>
      </c>
      <c r="X76" s="42">
        <f t="shared" si="35"/>
        <v>0</v>
      </c>
      <c r="Y76" s="20">
        <f t="shared" si="36"/>
        <v>0</v>
      </c>
      <c r="Z76" s="20">
        <f t="shared" si="37"/>
        <v>0</v>
      </c>
      <c r="AA76" s="20">
        <f t="shared" si="38"/>
        <v>0</v>
      </c>
      <c r="AB76" s="88">
        <f t="shared" si="39"/>
        <v>0</v>
      </c>
      <c r="AC76" s="89">
        <f t="shared" si="40"/>
        <v>0</v>
      </c>
    </row>
    <row r="77" ht="15.75" customHeight="1">
      <c r="C77" s="15" t="str">
        <f t="shared" ref="C77:D77" si="53">C16</f>
        <v/>
      </c>
      <c r="D77" s="15" t="str">
        <f t="shared" si="53"/>
        <v/>
      </c>
      <c r="E77" s="90"/>
      <c r="F77" s="108"/>
      <c r="G77" s="105"/>
      <c r="H77" s="105"/>
      <c r="I77" s="105"/>
      <c r="J77" s="98"/>
      <c r="K77" s="99"/>
      <c r="L77" s="105"/>
      <c r="M77" s="105"/>
      <c r="N77" s="106"/>
      <c r="O77" s="97"/>
      <c r="P77" s="42">
        <f t="shared" ref="P77:S77" si="54">IF(NOT(OR($F77=0,ISBLANK($F77))), G77/$F77,0)</f>
        <v>0</v>
      </c>
      <c r="Q77" s="42">
        <f t="shared" si="54"/>
        <v>0</v>
      </c>
      <c r="R77" s="42">
        <f t="shared" si="54"/>
        <v>0</v>
      </c>
      <c r="S77" s="42">
        <f t="shared" si="54"/>
        <v>0</v>
      </c>
      <c r="T77" s="41">
        <f t="shared" si="32"/>
        <v>0</v>
      </c>
      <c r="U77" s="42">
        <v>1.0</v>
      </c>
      <c r="V77" s="42">
        <f t="shared" si="33"/>
        <v>0</v>
      </c>
      <c r="W77" s="42">
        <f t="shared" si="34"/>
        <v>1</v>
      </c>
      <c r="X77" s="42">
        <f t="shared" si="35"/>
        <v>0</v>
      </c>
      <c r="Y77" s="20">
        <f t="shared" si="36"/>
        <v>0</v>
      </c>
      <c r="Z77" s="20">
        <f t="shared" si="37"/>
        <v>0</v>
      </c>
      <c r="AA77" s="20">
        <f t="shared" si="38"/>
        <v>0</v>
      </c>
      <c r="AB77" s="88">
        <f t="shared" si="39"/>
        <v>0</v>
      </c>
      <c r="AC77" s="89">
        <f t="shared" si="40"/>
        <v>0</v>
      </c>
    </row>
    <row r="78" ht="15.75" customHeight="1">
      <c r="C78" s="15" t="str">
        <f t="shared" ref="C78:D78" si="55">C17</f>
        <v/>
      </c>
      <c r="D78" s="15" t="str">
        <f t="shared" si="55"/>
        <v/>
      </c>
      <c r="E78" s="90"/>
      <c r="F78" s="108"/>
      <c r="G78" s="105"/>
      <c r="H78" s="105"/>
      <c r="I78" s="105"/>
      <c r="J78" s="98"/>
      <c r="K78" s="99"/>
      <c r="L78" s="105"/>
      <c r="M78" s="105"/>
      <c r="N78" s="106"/>
      <c r="O78" s="97"/>
      <c r="P78" s="42">
        <f t="shared" ref="P78:S78" si="56">IF(NOT(OR($F78=0,ISBLANK($F78))), G78/$F78,0)</f>
        <v>0</v>
      </c>
      <c r="Q78" s="42">
        <f t="shared" si="56"/>
        <v>0</v>
      </c>
      <c r="R78" s="42">
        <f t="shared" si="56"/>
        <v>0</v>
      </c>
      <c r="S78" s="42">
        <f t="shared" si="56"/>
        <v>0</v>
      </c>
      <c r="T78" s="41">
        <f t="shared" si="32"/>
        <v>0</v>
      </c>
      <c r="U78" s="42">
        <v>1.0</v>
      </c>
      <c r="V78" s="42">
        <f t="shared" si="33"/>
        <v>0</v>
      </c>
      <c r="W78" s="42">
        <f t="shared" si="34"/>
        <v>1</v>
      </c>
      <c r="X78" s="42">
        <f t="shared" si="35"/>
        <v>0</v>
      </c>
      <c r="Y78" s="20">
        <f t="shared" si="36"/>
        <v>0</v>
      </c>
      <c r="Z78" s="20">
        <f t="shared" si="37"/>
        <v>0</v>
      </c>
      <c r="AA78" s="20">
        <f t="shared" si="38"/>
        <v>0</v>
      </c>
      <c r="AB78" s="88">
        <f t="shared" si="39"/>
        <v>0</v>
      </c>
      <c r="AC78" s="89">
        <f t="shared" si="40"/>
        <v>0</v>
      </c>
    </row>
    <row r="79" ht="15.75" customHeight="1">
      <c r="C79" s="15" t="str">
        <f t="shared" ref="C79:D79" si="57">C19</f>
        <v/>
      </c>
      <c r="D79" s="15" t="str">
        <f t="shared" si="57"/>
        <v/>
      </c>
      <c r="E79" s="90"/>
      <c r="F79" s="108"/>
      <c r="G79" s="105"/>
      <c r="H79" s="105"/>
      <c r="I79" s="105"/>
      <c r="J79" s="98"/>
      <c r="K79" s="99"/>
      <c r="L79" s="105"/>
      <c r="M79" s="105"/>
      <c r="N79" s="106"/>
      <c r="O79" s="97"/>
      <c r="P79" s="42">
        <f t="shared" ref="P79:S79" si="58">IF(NOT(OR($F79=0,ISBLANK($F79))), G79/$F79,0)</f>
        <v>0</v>
      </c>
      <c r="Q79" s="42">
        <f t="shared" si="58"/>
        <v>0</v>
      </c>
      <c r="R79" s="42">
        <f t="shared" si="58"/>
        <v>0</v>
      </c>
      <c r="S79" s="42">
        <f t="shared" si="58"/>
        <v>0</v>
      </c>
      <c r="T79" s="41">
        <f t="shared" si="32"/>
        <v>0</v>
      </c>
      <c r="U79" s="42">
        <v>1.0</v>
      </c>
      <c r="V79" s="42">
        <f t="shared" si="33"/>
        <v>0</v>
      </c>
      <c r="W79" s="42">
        <f t="shared" si="34"/>
        <v>1</v>
      </c>
      <c r="X79" s="42">
        <f t="shared" si="35"/>
        <v>0</v>
      </c>
      <c r="Y79" s="20">
        <f t="shared" si="36"/>
        <v>0</v>
      </c>
      <c r="Z79" s="20">
        <f t="shared" si="37"/>
        <v>0</v>
      </c>
      <c r="AA79" s="20">
        <f t="shared" si="38"/>
        <v>0</v>
      </c>
      <c r="AB79" s="88">
        <f t="shared" si="39"/>
        <v>0</v>
      </c>
      <c r="AC79" s="89">
        <f t="shared" si="40"/>
        <v>0</v>
      </c>
    </row>
    <row r="80" ht="15.75" customHeight="1">
      <c r="C80" s="15" t="str">
        <f t="shared" ref="C80:D80" si="59">C20</f>
        <v/>
      </c>
      <c r="D80" s="15" t="str">
        <f t="shared" si="59"/>
        <v/>
      </c>
      <c r="E80" s="90"/>
      <c r="F80" s="108"/>
      <c r="G80" s="105"/>
      <c r="H80" s="105"/>
      <c r="I80" s="105"/>
      <c r="J80" s="98"/>
      <c r="K80" s="99"/>
      <c r="L80" s="105"/>
      <c r="M80" s="105"/>
      <c r="N80" s="106"/>
      <c r="O80" s="97"/>
      <c r="P80" s="42">
        <f t="shared" ref="P80:S80" si="60">IF(NOT(OR($F80=0,ISBLANK($F80))), G80/$F80,0)</f>
        <v>0</v>
      </c>
      <c r="Q80" s="42">
        <f t="shared" si="60"/>
        <v>0</v>
      </c>
      <c r="R80" s="42">
        <f t="shared" si="60"/>
        <v>0</v>
      </c>
      <c r="S80" s="42">
        <f t="shared" si="60"/>
        <v>0</v>
      </c>
      <c r="T80" s="41">
        <f t="shared" si="32"/>
        <v>0</v>
      </c>
      <c r="U80" s="42">
        <v>1.0</v>
      </c>
      <c r="V80" s="42">
        <f t="shared" si="33"/>
        <v>0</v>
      </c>
      <c r="W80" s="42">
        <f t="shared" si="34"/>
        <v>1</v>
      </c>
      <c r="X80" s="42">
        <f t="shared" si="35"/>
        <v>0</v>
      </c>
      <c r="Y80" s="20">
        <f t="shared" si="36"/>
        <v>0</v>
      </c>
      <c r="Z80" s="20">
        <f t="shared" si="37"/>
        <v>0</v>
      </c>
      <c r="AA80" s="20">
        <f t="shared" si="38"/>
        <v>0</v>
      </c>
      <c r="AB80" s="88">
        <f t="shared" si="39"/>
        <v>0</v>
      </c>
      <c r="AC80" s="89">
        <f t="shared" si="40"/>
        <v>0</v>
      </c>
    </row>
    <row r="81" ht="15.75" customHeight="1">
      <c r="C81" s="15" t="str">
        <f t="shared" ref="C81:D81" si="61">C21</f>
        <v/>
      </c>
      <c r="D81" s="15" t="str">
        <f t="shared" si="61"/>
        <v/>
      </c>
      <c r="E81" s="90"/>
      <c r="F81" s="108"/>
      <c r="G81" s="105"/>
      <c r="H81" s="105"/>
      <c r="I81" s="105"/>
      <c r="J81" s="98"/>
      <c r="K81" s="99"/>
      <c r="L81" s="105"/>
      <c r="M81" s="105"/>
      <c r="N81" s="106"/>
      <c r="O81" s="97"/>
      <c r="P81" s="42">
        <f t="shared" ref="P81:S81" si="62">IF(NOT(OR($F81=0,ISBLANK($F81))), G81/$F81,0)</f>
        <v>0</v>
      </c>
      <c r="Q81" s="42">
        <f t="shared" si="62"/>
        <v>0</v>
      </c>
      <c r="R81" s="42">
        <f t="shared" si="62"/>
        <v>0</v>
      </c>
      <c r="S81" s="42">
        <f t="shared" si="62"/>
        <v>0</v>
      </c>
      <c r="T81" s="41">
        <f t="shared" si="32"/>
        <v>0</v>
      </c>
      <c r="U81" s="42">
        <v>1.0</v>
      </c>
      <c r="V81" s="42">
        <f t="shared" si="33"/>
        <v>0</v>
      </c>
      <c r="W81" s="42">
        <f t="shared" si="34"/>
        <v>1</v>
      </c>
      <c r="X81" s="42">
        <f t="shared" si="35"/>
        <v>0</v>
      </c>
      <c r="Y81" s="20">
        <f t="shared" si="36"/>
        <v>0</v>
      </c>
      <c r="Z81" s="20">
        <f t="shared" si="37"/>
        <v>0</v>
      </c>
      <c r="AA81" s="20">
        <f t="shared" si="38"/>
        <v>0</v>
      </c>
      <c r="AB81" s="88">
        <f t="shared" si="39"/>
        <v>0</v>
      </c>
      <c r="AC81" s="89">
        <f t="shared" si="40"/>
        <v>0</v>
      </c>
    </row>
    <row r="82" ht="15.75" customHeight="1">
      <c r="C82" s="15" t="str">
        <f t="shared" ref="C82:D82" si="63">C22</f>
        <v/>
      </c>
      <c r="D82" s="15" t="str">
        <f t="shared" si="63"/>
        <v/>
      </c>
      <c r="E82" s="90"/>
      <c r="F82" s="108"/>
      <c r="G82" s="105"/>
      <c r="H82" s="105"/>
      <c r="I82" s="105"/>
      <c r="J82" s="98"/>
      <c r="K82" s="99"/>
      <c r="L82" s="105"/>
      <c r="M82" s="105"/>
      <c r="N82" s="106"/>
      <c r="O82" s="97"/>
      <c r="P82" s="42">
        <f t="shared" ref="P82:S82" si="64">IF(NOT(OR($F82=0,ISBLANK($F82))), G82/$F82,0)</f>
        <v>0</v>
      </c>
      <c r="Q82" s="42">
        <f t="shared" si="64"/>
        <v>0</v>
      </c>
      <c r="R82" s="42">
        <f t="shared" si="64"/>
        <v>0</v>
      </c>
      <c r="S82" s="42">
        <f t="shared" si="64"/>
        <v>0</v>
      </c>
      <c r="T82" s="41">
        <f t="shared" si="32"/>
        <v>0</v>
      </c>
      <c r="U82" s="42">
        <v>1.0</v>
      </c>
      <c r="V82" s="42">
        <f t="shared" si="33"/>
        <v>0</v>
      </c>
      <c r="W82" s="42">
        <f t="shared" si="34"/>
        <v>1</v>
      </c>
      <c r="X82" s="42">
        <f t="shared" si="35"/>
        <v>0</v>
      </c>
      <c r="Y82" s="20">
        <f t="shared" si="36"/>
        <v>0</v>
      </c>
      <c r="Z82" s="20">
        <f t="shared" si="37"/>
        <v>0</v>
      </c>
      <c r="AA82" s="20">
        <f t="shared" si="38"/>
        <v>0</v>
      </c>
      <c r="AB82" s="88">
        <f t="shared" si="39"/>
        <v>0</v>
      </c>
      <c r="AC82" s="89">
        <f t="shared" si="40"/>
        <v>0</v>
      </c>
    </row>
    <row r="83" ht="15.75" customHeight="1">
      <c r="C83" s="15" t="str">
        <f t="shared" ref="C83:D83" si="65">C23</f>
        <v/>
      </c>
      <c r="D83" s="15" t="str">
        <f t="shared" si="65"/>
        <v/>
      </c>
      <c r="E83" s="90"/>
      <c r="F83" s="108"/>
      <c r="G83" s="105"/>
      <c r="H83" s="105"/>
      <c r="I83" s="105"/>
      <c r="J83" s="98"/>
      <c r="K83" s="99"/>
      <c r="L83" s="105"/>
      <c r="M83" s="105"/>
      <c r="N83" s="106"/>
      <c r="O83" s="97"/>
      <c r="P83" s="42">
        <f t="shared" ref="P83:S83" si="66">IF(NOT(OR($F83=0,ISBLANK($F83))), G83/$F83,0)</f>
        <v>0</v>
      </c>
      <c r="Q83" s="42">
        <f t="shared" si="66"/>
        <v>0</v>
      </c>
      <c r="R83" s="42">
        <f t="shared" si="66"/>
        <v>0</v>
      </c>
      <c r="S83" s="42">
        <f t="shared" si="66"/>
        <v>0</v>
      </c>
      <c r="T83" s="41">
        <f t="shared" si="32"/>
        <v>0</v>
      </c>
      <c r="U83" s="42">
        <v>1.0</v>
      </c>
      <c r="V83" s="42">
        <f t="shared" si="33"/>
        <v>0</v>
      </c>
      <c r="W83" s="42">
        <f t="shared" si="34"/>
        <v>1</v>
      </c>
      <c r="X83" s="42">
        <f t="shared" si="35"/>
        <v>0</v>
      </c>
      <c r="Y83" s="20">
        <f t="shared" si="36"/>
        <v>0</v>
      </c>
      <c r="Z83" s="20">
        <f t="shared" si="37"/>
        <v>0</v>
      </c>
      <c r="AA83" s="20">
        <f t="shared" si="38"/>
        <v>0</v>
      </c>
      <c r="AB83" s="88">
        <f t="shared" si="39"/>
        <v>0</v>
      </c>
      <c r="AC83" s="89">
        <f t="shared" si="40"/>
        <v>0</v>
      </c>
    </row>
    <row r="84" ht="15.75" customHeight="1">
      <c r="C84" s="15" t="str">
        <f t="shared" ref="C84:D84" si="67">C24</f>
        <v/>
      </c>
      <c r="D84" s="15" t="str">
        <f t="shared" si="67"/>
        <v/>
      </c>
      <c r="E84" s="90"/>
      <c r="F84" s="108"/>
      <c r="G84" s="105"/>
      <c r="H84" s="105"/>
      <c r="I84" s="105"/>
      <c r="J84" s="98"/>
      <c r="K84" s="99"/>
      <c r="L84" s="105"/>
      <c r="M84" s="105"/>
      <c r="N84" s="106"/>
      <c r="O84" s="97"/>
      <c r="P84" s="42">
        <f t="shared" ref="P84:S84" si="68">IF(NOT(OR($F84=0,ISBLANK($F84))), G84/$F84,0)</f>
        <v>0</v>
      </c>
      <c r="Q84" s="42">
        <f t="shared" si="68"/>
        <v>0</v>
      </c>
      <c r="R84" s="42">
        <f t="shared" si="68"/>
        <v>0</v>
      </c>
      <c r="S84" s="42">
        <f t="shared" si="68"/>
        <v>0</v>
      </c>
      <c r="T84" s="41">
        <f t="shared" si="32"/>
        <v>0</v>
      </c>
      <c r="U84" s="42">
        <v>1.0</v>
      </c>
      <c r="V84" s="42">
        <f t="shared" si="33"/>
        <v>0</v>
      </c>
      <c r="W84" s="42">
        <f t="shared" si="34"/>
        <v>1</v>
      </c>
      <c r="X84" s="42">
        <f t="shared" si="35"/>
        <v>0</v>
      </c>
      <c r="Y84" s="20">
        <f t="shared" si="36"/>
        <v>0</v>
      </c>
      <c r="Z84" s="20">
        <f t="shared" si="37"/>
        <v>0</v>
      </c>
      <c r="AA84" s="20">
        <f t="shared" si="38"/>
        <v>0</v>
      </c>
      <c r="AB84" s="88">
        <f t="shared" si="39"/>
        <v>0</v>
      </c>
      <c r="AC84" s="89">
        <f t="shared" si="40"/>
        <v>0</v>
      </c>
    </row>
    <row r="85" ht="15.75" customHeight="1">
      <c r="D85" s="60" t="s">
        <v>121</v>
      </c>
      <c r="E85" s="61"/>
      <c r="F85" s="109">
        <f t="shared" ref="F85:L85" si="69">SUM(F65:F84)</f>
        <v>30</v>
      </c>
      <c r="G85" s="110">
        <f t="shared" si="69"/>
        <v>29</v>
      </c>
      <c r="H85" s="110">
        <f t="shared" si="69"/>
        <v>1</v>
      </c>
      <c r="I85" s="110">
        <f t="shared" si="69"/>
        <v>0</v>
      </c>
      <c r="J85" s="111">
        <f t="shared" si="69"/>
        <v>0</v>
      </c>
      <c r="K85" s="112">
        <f t="shared" si="69"/>
        <v>1</v>
      </c>
      <c r="L85" s="110">
        <f t="shared" si="69"/>
        <v>0</v>
      </c>
      <c r="M85" s="110">
        <f t="shared" ref="M85:N85" si="70">SUM(M68:M84)</f>
        <v>1</v>
      </c>
      <c r="N85" s="111">
        <f t="shared" si="70"/>
        <v>0</v>
      </c>
      <c r="O85" s="113">
        <f t="shared" ref="O85:S85" si="71">AVERAGE(O65:O84)</f>
        <v>0.9714285714</v>
      </c>
      <c r="P85" s="63">
        <f t="shared" si="71"/>
        <v>0.09772727273</v>
      </c>
      <c r="Q85" s="63">
        <f t="shared" si="71"/>
        <v>0.002272727273</v>
      </c>
      <c r="R85" s="63">
        <f t="shared" si="71"/>
        <v>0</v>
      </c>
      <c r="S85" s="63">
        <f t="shared" si="71"/>
        <v>0</v>
      </c>
      <c r="T85" s="114">
        <f>SUM(T65:T84)</f>
        <v>1</v>
      </c>
      <c r="U85" s="63">
        <f t="shared" ref="U85:X85" si="72">AVERAGE(U65:U84)</f>
        <v>1</v>
      </c>
      <c r="V85" s="63">
        <f t="shared" si="72"/>
        <v>0.1</v>
      </c>
      <c r="W85" s="63">
        <f t="shared" si="72"/>
        <v>0.9</v>
      </c>
      <c r="X85" s="63">
        <f t="shared" si="72"/>
        <v>0</v>
      </c>
      <c r="Y85" s="114">
        <f t="shared" ref="Y85:AB85" si="73">SUM(Y65:Y84)</f>
        <v>30</v>
      </c>
      <c r="Z85" s="114">
        <f t="shared" si="73"/>
        <v>30</v>
      </c>
      <c r="AA85" s="114">
        <f t="shared" si="73"/>
        <v>0</v>
      </c>
      <c r="AB85" s="61">
        <f t="shared" si="73"/>
        <v>0</v>
      </c>
      <c r="AC85" s="114">
        <f t="shared" si="40"/>
        <v>30</v>
      </c>
    </row>
    <row r="86" ht="15.75" customHeight="1">
      <c r="D86" s="34" t="s">
        <v>137</v>
      </c>
      <c r="E86" s="29"/>
      <c r="F86" s="29"/>
      <c r="G86" s="29"/>
      <c r="H86" s="29"/>
      <c r="I86" s="29"/>
      <c r="J86" s="29"/>
      <c r="K86" s="29">
        <v>215.0</v>
      </c>
      <c r="L86" s="29"/>
      <c r="M86" s="29"/>
      <c r="N86" s="29"/>
      <c r="O86" s="29"/>
    </row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>
      <c r="A143" s="66" t="s">
        <v>138</v>
      </c>
      <c r="B143" s="67"/>
      <c r="C143" s="67"/>
      <c r="D143" s="68"/>
    </row>
    <row r="144" ht="15.75" customHeight="1">
      <c r="E144" s="29"/>
      <c r="F144" s="29" t="s">
        <v>139</v>
      </c>
      <c r="G144" s="29" t="s">
        <v>140</v>
      </c>
    </row>
    <row r="145" ht="15.75" customHeight="1">
      <c r="C145" s="29" t="s">
        <v>81</v>
      </c>
      <c r="D145" s="15" t="s">
        <v>141</v>
      </c>
      <c r="E145" s="115"/>
      <c r="F145" s="116">
        <v>2.0</v>
      </c>
      <c r="G145" s="19">
        <v>1.0</v>
      </c>
    </row>
    <row r="146" ht="15.75" customHeight="1">
      <c r="D146" s="15" t="s">
        <v>142</v>
      </c>
      <c r="E146" s="115"/>
      <c r="F146" s="116">
        <v>1.0</v>
      </c>
      <c r="G146" s="19">
        <f t="shared" ref="G146:G147" si="74">F146/$F$145</f>
        <v>0.5</v>
      </c>
    </row>
    <row r="147" ht="15.75" customHeight="1">
      <c r="D147" s="15" t="s">
        <v>143</v>
      </c>
      <c r="E147" s="115"/>
      <c r="F147" s="116">
        <v>1.0</v>
      </c>
      <c r="G147" s="19">
        <f t="shared" si="74"/>
        <v>0.5</v>
      </c>
    </row>
    <row r="148" ht="15.75" customHeight="1"/>
    <row r="149" ht="15.75" customHeight="1"/>
    <row r="150" ht="15.75" customHeight="1"/>
    <row r="151" ht="15.75" customHeight="1"/>
    <row r="152" ht="15.75" customHeight="1">
      <c r="E152" s="50" t="s">
        <v>144</v>
      </c>
      <c r="F152" s="50" t="s">
        <v>145</v>
      </c>
    </row>
    <row r="153" ht="15.75" customHeight="1">
      <c r="D153" s="117" t="str">
        <f>P4</f>
        <v>Sprint</v>
      </c>
      <c r="E153" s="118">
        <f>G146</f>
        <v>0.5</v>
      </c>
      <c r="F153" s="118">
        <f>G147</f>
        <v>0.5</v>
      </c>
    </row>
    <row r="154" ht="15.75" customHeight="1">
      <c r="D154" s="117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>
      <c r="A163" s="66" t="s">
        <v>146</v>
      </c>
      <c r="B163" s="67"/>
      <c r="C163" s="68"/>
    </row>
    <row r="164" ht="15.75" customHeight="1">
      <c r="D164" s="119" t="s">
        <v>85</v>
      </c>
      <c r="E164" s="120">
        <f>SUM($G$85:$I$85)/$F$85</f>
        <v>1</v>
      </c>
    </row>
    <row r="165" ht="15.75" customHeight="1">
      <c r="C165" s="29" t="s">
        <v>118</v>
      </c>
      <c r="D165" s="121" t="s">
        <v>16</v>
      </c>
      <c r="E165" s="122">
        <f>$G$85/$F$85</f>
        <v>0.9666666667</v>
      </c>
    </row>
    <row r="166" ht="15.75" customHeight="1">
      <c r="D166" s="123" t="s">
        <v>17</v>
      </c>
      <c r="E166" s="124">
        <f>E164-E165</f>
        <v>0.03333333333</v>
      </c>
    </row>
    <row r="167" ht="15.75" customHeight="1">
      <c r="D167" s="125" t="s">
        <v>147</v>
      </c>
      <c r="E167" s="126">
        <f>1-E164</f>
        <v>0</v>
      </c>
    </row>
    <row r="168" ht="15.75" customHeight="1">
      <c r="D168" s="15" t="s">
        <v>121</v>
      </c>
      <c r="E168" s="42">
        <f>E165+E166+E167</f>
        <v>1</v>
      </c>
    </row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60:C60"/>
    <mergeCell ref="F63:J63"/>
    <mergeCell ref="K63:N63"/>
    <mergeCell ref="A143:D143"/>
    <mergeCell ref="C145:C147"/>
    <mergeCell ref="A163:C163"/>
    <mergeCell ref="C165:C168"/>
  </mergeCells>
  <conditionalFormatting sqref="C65:D84">
    <cfRule type="cellIs" dxfId="6" priority="1" operator="equal">
      <formula>0</formula>
    </cfRule>
  </conditionalFormatting>
  <conditionalFormatting sqref="G4:G36">
    <cfRule type="cellIs" dxfId="7" priority="2" operator="equal">
      <formula>1</formula>
    </cfRule>
  </conditionalFormatting>
  <conditionalFormatting sqref="T65:T84">
    <cfRule type="cellIs" dxfId="7" priority="3" operator="equal">
      <formula>1</formula>
    </cfRule>
  </conditionalFormatting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7" max="7" width="71.57"/>
    <col customWidth="1" min="8" max="8" width="34.0"/>
  </cols>
  <sheetData>
    <row r="3">
      <c r="D3" s="1" t="s">
        <v>0</v>
      </c>
      <c r="E3" s="1" t="s">
        <v>1</v>
      </c>
      <c r="F3" s="1" t="s">
        <v>2</v>
      </c>
      <c r="G3" s="1" t="s">
        <v>3</v>
      </c>
      <c r="H3" s="1" t="s">
        <v>4</v>
      </c>
    </row>
    <row r="4">
      <c r="D4" s="2" t="s">
        <v>5</v>
      </c>
      <c r="E4" s="3" t="s">
        <v>6</v>
      </c>
      <c r="F4" s="4" t="s">
        <v>7</v>
      </c>
      <c r="G4" s="5" t="s">
        <v>8</v>
      </c>
      <c r="H4" s="6" t="s">
        <v>9</v>
      </c>
    </row>
    <row r="5">
      <c r="D5" s="2" t="s">
        <v>10</v>
      </c>
      <c r="E5" s="7" t="s">
        <v>11</v>
      </c>
      <c r="F5" s="4" t="s">
        <v>7</v>
      </c>
      <c r="G5" s="5" t="s">
        <v>12</v>
      </c>
      <c r="H5" s="8" t="s">
        <v>13</v>
      </c>
    </row>
    <row r="6">
      <c r="D6" s="9"/>
      <c r="E6" s="10"/>
      <c r="F6" s="11"/>
      <c r="G6" s="9"/>
      <c r="H6" s="9"/>
    </row>
    <row r="7">
      <c r="D7" s="9"/>
      <c r="E7" s="10"/>
      <c r="F7" s="11"/>
      <c r="G7" s="9"/>
      <c r="H7" s="9"/>
    </row>
    <row r="8">
      <c r="D8" s="9"/>
      <c r="E8" s="10"/>
      <c r="F8" s="12"/>
      <c r="G8" s="9"/>
      <c r="H8" s="9"/>
    </row>
    <row r="9">
      <c r="D9" s="9"/>
      <c r="E9" s="10"/>
      <c r="F9" s="12"/>
      <c r="G9" s="9"/>
      <c r="H9" s="9"/>
    </row>
    <row r="10">
      <c r="D10" s="9"/>
      <c r="E10" s="10"/>
      <c r="F10" s="12"/>
      <c r="G10" s="9"/>
      <c r="H10" s="9"/>
    </row>
    <row r="11">
      <c r="D11" s="9"/>
      <c r="E11" s="13"/>
      <c r="F11" s="12"/>
      <c r="G11" s="9"/>
      <c r="H11" s="9"/>
    </row>
    <row r="12">
      <c r="D12" s="9"/>
      <c r="E12" s="13"/>
      <c r="F12" s="12"/>
      <c r="G12" s="9"/>
      <c r="H12" s="9"/>
    </row>
    <row r="13">
      <c r="D13" s="9"/>
      <c r="E13" s="13"/>
      <c r="F13" s="12"/>
      <c r="G13" s="9"/>
      <c r="H13" s="9"/>
    </row>
    <row r="14">
      <c r="D14" s="9"/>
      <c r="E14" s="13"/>
      <c r="F14" s="12"/>
      <c r="G14" s="9"/>
      <c r="H14" s="9"/>
    </row>
    <row r="15">
      <c r="D15" s="9"/>
      <c r="E15" s="13"/>
      <c r="F15" s="12"/>
      <c r="G15" s="9"/>
      <c r="H15" s="9"/>
    </row>
    <row r="16">
      <c r="D16" s="9"/>
      <c r="E16" s="13"/>
      <c r="F16" s="12"/>
      <c r="G16" s="9"/>
      <c r="H16" s="9"/>
    </row>
    <row r="17">
      <c r="D17" s="9"/>
      <c r="E17" s="13"/>
      <c r="F17" s="12"/>
      <c r="G17" s="9"/>
      <c r="H17" s="9"/>
    </row>
    <row r="18">
      <c r="D18" s="9"/>
      <c r="E18" s="13"/>
      <c r="F18" s="12"/>
      <c r="G18" s="9"/>
      <c r="H18" s="9"/>
    </row>
  </sheetData>
  <autoFilter ref="$D$3:$H$18"/>
  <conditionalFormatting sqref="E4:E18">
    <cfRule type="cellIs" dxfId="0" priority="1" operator="equal">
      <formula>"P1"</formula>
    </cfRule>
  </conditionalFormatting>
  <conditionalFormatting sqref="E4:E18">
    <cfRule type="cellIs" dxfId="1" priority="2" operator="equal">
      <formula>"P2"</formula>
    </cfRule>
  </conditionalFormatting>
  <conditionalFormatting sqref="E4:E18">
    <cfRule type="cellIs" dxfId="2" priority="3" operator="equal">
      <formula>"P3"</formula>
    </cfRule>
  </conditionalFormatting>
  <conditionalFormatting sqref="F4:H18">
    <cfRule type="cellIs" dxfId="3" priority="4" operator="equal">
      <formula>"Bloquant"</formula>
    </cfRule>
  </conditionalFormatting>
  <conditionalFormatting sqref="F4:H18">
    <cfRule type="cellIs" dxfId="4" priority="5" operator="equal">
      <formula>"Majeur"</formula>
    </cfRule>
  </conditionalFormatting>
  <conditionalFormatting sqref="F4:H18">
    <cfRule type="cellIs" dxfId="5" priority="6" operator="equal">
      <formula>"Mineur"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20" max="20" width="8.86"/>
    <col customWidth="1" min="21" max="21" width="12.43"/>
    <col customWidth="1" min="22" max="22" width="12.14"/>
    <col customWidth="1" min="23" max="23" width="67.0"/>
    <col customWidth="1" min="24" max="24" width="30.86"/>
  </cols>
  <sheetData>
    <row r="1">
      <c r="U1" s="21"/>
      <c r="V1" s="21"/>
    </row>
    <row r="2">
      <c r="U2" s="21"/>
      <c r="V2" s="21"/>
    </row>
    <row r="3">
      <c r="U3" s="21"/>
      <c r="V3" s="21"/>
    </row>
    <row r="4">
      <c r="U4" s="21"/>
      <c r="V4" s="21"/>
    </row>
    <row r="5">
      <c r="U5" s="21"/>
      <c r="V5" s="21"/>
    </row>
    <row r="6">
      <c r="U6" s="21"/>
      <c r="V6" s="21"/>
    </row>
    <row r="7">
      <c r="U7" s="21"/>
      <c r="V7" s="21"/>
    </row>
    <row r="8">
      <c r="U8" s="21"/>
      <c r="V8" s="21"/>
    </row>
    <row r="9">
      <c r="U9" s="21"/>
      <c r="V9" s="21"/>
    </row>
    <row r="10">
      <c r="U10" s="21"/>
      <c r="V10" s="21"/>
    </row>
    <row r="11">
      <c r="U11" s="21"/>
      <c r="V11" s="21"/>
    </row>
    <row r="12">
      <c r="U12" s="21"/>
      <c r="V12" s="21"/>
    </row>
    <row r="13">
      <c r="U13" s="21"/>
      <c r="V13" s="21"/>
    </row>
    <row r="14">
      <c r="U14" s="21"/>
      <c r="V14" s="21"/>
    </row>
    <row r="15">
      <c r="U15" s="21"/>
      <c r="V15" s="21"/>
    </row>
    <row r="16">
      <c r="U16" s="21"/>
      <c r="V16" s="21"/>
    </row>
    <row r="17">
      <c r="U17" s="21"/>
      <c r="V17" s="21"/>
    </row>
    <row r="18">
      <c r="U18" s="21"/>
      <c r="V18" s="21"/>
    </row>
    <row r="19">
      <c r="U19" s="21"/>
      <c r="V19" s="21"/>
    </row>
    <row r="20">
      <c r="U20" s="21"/>
      <c r="V20" s="21"/>
    </row>
    <row r="21">
      <c r="U21" s="21"/>
      <c r="V21" s="21"/>
    </row>
    <row r="22">
      <c r="U22" s="21"/>
      <c r="V22" s="21"/>
    </row>
    <row r="23">
      <c r="U23" s="21"/>
      <c r="V23" s="21"/>
    </row>
    <row r="24">
      <c r="U24" s="21"/>
      <c r="V24" s="21"/>
    </row>
    <row r="25">
      <c r="T25" s="1" t="s">
        <v>0</v>
      </c>
      <c r="U25" s="1" t="s">
        <v>1</v>
      </c>
      <c r="V25" s="1" t="s">
        <v>2</v>
      </c>
      <c r="W25" s="1" t="s">
        <v>3</v>
      </c>
      <c r="X25" s="1" t="s">
        <v>4</v>
      </c>
    </row>
    <row r="26">
      <c r="T26" s="2" t="s">
        <v>5</v>
      </c>
      <c r="U26" s="3" t="s">
        <v>6</v>
      </c>
      <c r="V26" s="4" t="s">
        <v>7</v>
      </c>
      <c r="W26" s="5" t="s">
        <v>8</v>
      </c>
      <c r="X26" s="6" t="s">
        <v>9</v>
      </c>
    </row>
    <row r="27">
      <c r="T27" s="2" t="s">
        <v>10</v>
      </c>
      <c r="U27" s="7" t="s">
        <v>11</v>
      </c>
      <c r="V27" s="4" t="s">
        <v>7</v>
      </c>
      <c r="W27" s="5" t="s">
        <v>12</v>
      </c>
      <c r="X27" s="8" t="s">
        <v>13</v>
      </c>
    </row>
    <row r="28">
      <c r="T28" s="9"/>
      <c r="U28" s="22"/>
      <c r="V28" s="23"/>
      <c r="W28" s="9"/>
      <c r="X28" s="9"/>
    </row>
    <row r="29">
      <c r="T29" s="9"/>
      <c r="U29" s="22"/>
      <c r="V29" s="11"/>
      <c r="W29" s="9"/>
      <c r="X29" s="9"/>
    </row>
    <row r="30">
      <c r="T30" s="9"/>
      <c r="U30" s="22"/>
      <c r="V30" s="11"/>
      <c r="W30" s="9"/>
      <c r="X30" s="9"/>
    </row>
    <row r="31">
      <c r="T31" s="9"/>
      <c r="U31" s="22"/>
      <c r="V31" s="11"/>
      <c r="W31" s="9"/>
      <c r="X31" s="9"/>
    </row>
    <row r="32">
      <c r="T32" s="9"/>
      <c r="U32" s="10"/>
      <c r="V32" s="11"/>
      <c r="W32" s="9"/>
      <c r="X32" s="9"/>
    </row>
    <row r="33">
      <c r="T33" s="9"/>
      <c r="U33" s="10"/>
      <c r="V33" s="11"/>
      <c r="W33" s="9"/>
      <c r="X33" s="9"/>
    </row>
    <row r="34">
      <c r="T34" s="9"/>
      <c r="U34" s="10"/>
      <c r="V34" s="11"/>
      <c r="W34" s="9"/>
      <c r="X34" s="9"/>
    </row>
    <row r="35">
      <c r="T35" s="9"/>
      <c r="U35" s="10"/>
      <c r="V35" s="12"/>
      <c r="W35" s="9"/>
      <c r="X35" s="9"/>
    </row>
    <row r="36">
      <c r="T36" s="9"/>
      <c r="U36" s="10"/>
      <c r="V36" s="12"/>
      <c r="W36" s="9"/>
      <c r="X36" s="9"/>
    </row>
    <row r="37">
      <c r="T37" s="9"/>
      <c r="U37" s="10"/>
      <c r="V37" s="12"/>
      <c r="W37" s="9"/>
      <c r="X37" s="9"/>
    </row>
    <row r="38">
      <c r="T38" s="9"/>
      <c r="U38" s="13"/>
      <c r="V38" s="12"/>
      <c r="W38" s="9"/>
      <c r="X38" s="9"/>
    </row>
    <row r="39">
      <c r="T39" s="9"/>
      <c r="U39" s="13"/>
      <c r="V39" s="12"/>
      <c r="W39" s="9"/>
      <c r="X39" s="9"/>
    </row>
    <row r="40">
      <c r="T40" s="9"/>
      <c r="U40" s="13"/>
      <c r="V40" s="12"/>
      <c r="W40" s="9"/>
      <c r="X40" s="9"/>
    </row>
    <row r="41">
      <c r="T41" s="9"/>
      <c r="U41" s="13"/>
      <c r="V41" s="12"/>
      <c r="W41" s="9"/>
      <c r="X41" s="9"/>
    </row>
    <row r="42">
      <c r="T42" s="9"/>
      <c r="U42" s="13"/>
      <c r="V42" s="12"/>
      <c r="W42" s="9"/>
      <c r="X42" s="9"/>
    </row>
    <row r="43">
      <c r="T43" s="9"/>
      <c r="U43" s="13"/>
      <c r="V43" s="12"/>
      <c r="W43" s="9"/>
      <c r="X43" s="9"/>
    </row>
    <row r="44">
      <c r="T44" s="9"/>
      <c r="U44" s="13"/>
      <c r="V44" s="12"/>
      <c r="W44" s="9"/>
      <c r="X44" s="9"/>
    </row>
    <row r="45">
      <c r="T45" s="9"/>
      <c r="U45" s="13"/>
      <c r="V45" s="12"/>
      <c r="W45" s="9"/>
      <c r="X45" s="9"/>
    </row>
    <row r="48">
      <c r="U48" s="21"/>
      <c r="V48" s="21"/>
    </row>
    <row r="49">
      <c r="U49" s="21"/>
      <c r="V49" s="21"/>
    </row>
    <row r="50">
      <c r="U50" s="21"/>
      <c r="V50" s="21"/>
    </row>
    <row r="51">
      <c r="U51" s="21"/>
      <c r="V51" s="21"/>
    </row>
    <row r="52">
      <c r="U52" s="21"/>
      <c r="V52" s="21"/>
    </row>
    <row r="53">
      <c r="U53" s="21"/>
      <c r="V53" s="21"/>
    </row>
    <row r="54">
      <c r="U54" s="21"/>
      <c r="V54" s="21"/>
    </row>
    <row r="55">
      <c r="U55" s="21"/>
      <c r="V55" s="21"/>
    </row>
    <row r="56">
      <c r="U56" s="21"/>
      <c r="V56" s="21"/>
    </row>
    <row r="57">
      <c r="U57" s="21"/>
      <c r="V57" s="21"/>
    </row>
    <row r="58">
      <c r="U58" s="21"/>
      <c r="V58" s="21"/>
    </row>
    <row r="59">
      <c r="U59" s="21"/>
      <c r="V59" s="21"/>
    </row>
    <row r="60">
      <c r="U60" s="21"/>
      <c r="V60" s="21"/>
    </row>
    <row r="61">
      <c r="U61" s="21"/>
      <c r="V61" s="21"/>
    </row>
    <row r="62">
      <c r="U62" s="21"/>
      <c r="V62" s="21"/>
    </row>
    <row r="63">
      <c r="U63" s="21"/>
      <c r="V63" s="21"/>
    </row>
    <row r="64">
      <c r="U64" s="21"/>
      <c r="V64" s="21"/>
    </row>
    <row r="65">
      <c r="U65" s="21"/>
      <c r="V65" s="21"/>
    </row>
    <row r="66">
      <c r="U66" s="21"/>
      <c r="V66" s="21"/>
    </row>
    <row r="67">
      <c r="U67" s="21"/>
      <c r="V67" s="21"/>
    </row>
    <row r="68">
      <c r="U68" s="21"/>
      <c r="V68" s="21"/>
    </row>
    <row r="69">
      <c r="U69" s="21"/>
      <c r="V69" s="21"/>
    </row>
    <row r="70">
      <c r="U70" s="21"/>
      <c r="V70" s="21"/>
    </row>
    <row r="71">
      <c r="U71" s="21"/>
      <c r="V71" s="21"/>
    </row>
    <row r="72">
      <c r="U72" s="21"/>
      <c r="V72" s="21"/>
    </row>
    <row r="73">
      <c r="U73" s="21"/>
      <c r="V73" s="21"/>
    </row>
    <row r="74">
      <c r="U74" s="21"/>
      <c r="V74" s="21"/>
    </row>
    <row r="75">
      <c r="U75" s="21"/>
      <c r="V75" s="21"/>
    </row>
    <row r="76">
      <c r="U76" s="21"/>
      <c r="V76" s="21"/>
    </row>
    <row r="77">
      <c r="U77" s="21"/>
      <c r="V77" s="21"/>
    </row>
    <row r="78">
      <c r="U78" s="21"/>
      <c r="V78" s="21"/>
    </row>
    <row r="79">
      <c r="U79" s="21"/>
      <c r="V79" s="21"/>
    </row>
    <row r="80">
      <c r="U80" s="21"/>
      <c r="V80" s="21"/>
    </row>
    <row r="81">
      <c r="U81" s="21"/>
      <c r="V81" s="21"/>
    </row>
    <row r="82">
      <c r="U82" s="21"/>
      <c r="V82" s="21"/>
    </row>
    <row r="83">
      <c r="U83" s="21"/>
      <c r="V83" s="21"/>
    </row>
    <row r="84">
      <c r="U84" s="21"/>
      <c r="V84" s="21"/>
    </row>
    <row r="85">
      <c r="U85" s="21"/>
      <c r="V85" s="21"/>
    </row>
    <row r="86">
      <c r="U86" s="21"/>
      <c r="V86" s="21"/>
    </row>
    <row r="87">
      <c r="U87" s="21"/>
      <c r="V87" s="21"/>
    </row>
    <row r="88">
      <c r="U88" s="21"/>
      <c r="V88" s="21"/>
    </row>
    <row r="89">
      <c r="U89" s="21"/>
      <c r="V89" s="21"/>
    </row>
    <row r="90">
      <c r="U90" s="21"/>
      <c r="V90" s="21"/>
    </row>
    <row r="91">
      <c r="U91" s="21"/>
      <c r="V91" s="21"/>
    </row>
    <row r="92">
      <c r="U92" s="21"/>
      <c r="V92" s="21"/>
    </row>
    <row r="93">
      <c r="U93" s="21"/>
      <c r="V93" s="21"/>
    </row>
    <row r="94">
      <c r="U94" s="21"/>
      <c r="V94" s="21"/>
    </row>
    <row r="95">
      <c r="U95" s="21"/>
      <c r="V95" s="21"/>
    </row>
    <row r="96">
      <c r="U96" s="21"/>
      <c r="V96" s="21"/>
    </row>
    <row r="97">
      <c r="U97" s="21"/>
      <c r="V97" s="21"/>
    </row>
    <row r="98">
      <c r="U98" s="21"/>
      <c r="V98" s="21"/>
    </row>
    <row r="99">
      <c r="U99" s="21"/>
      <c r="V99" s="21"/>
    </row>
    <row r="100">
      <c r="U100" s="21"/>
      <c r="V100" s="21"/>
    </row>
    <row r="101">
      <c r="U101" s="21"/>
      <c r="V101" s="21"/>
    </row>
    <row r="102">
      <c r="U102" s="21"/>
      <c r="V102" s="21"/>
    </row>
    <row r="103">
      <c r="U103" s="21"/>
      <c r="V103" s="21"/>
    </row>
    <row r="104">
      <c r="U104" s="21"/>
      <c r="V104" s="21"/>
    </row>
    <row r="105">
      <c r="U105" s="21"/>
      <c r="V105" s="21"/>
    </row>
    <row r="106">
      <c r="U106" s="21"/>
      <c r="V106" s="21"/>
    </row>
    <row r="107">
      <c r="U107" s="21"/>
      <c r="V107" s="21"/>
    </row>
    <row r="108">
      <c r="U108" s="21"/>
      <c r="V108" s="21"/>
    </row>
    <row r="109">
      <c r="U109" s="21"/>
      <c r="V109" s="21"/>
    </row>
    <row r="110">
      <c r="U110" s="21"/>
      <c r="V110" s="21"/>
    </row>
    <row r="111">
      <c r="U111" s="21"/>
      <c r="V111" s="21"/>
    </row>
    <row r="112">
      <c r="U112" s="21"/>
      <c r="V112" s="21"/>
    </row>
    <row r="113">
      <c r="U113" s="21"/>
      <c r="V113" s="21"/>
    </row>
    <row r="114">
      <c r="U114" s="21"/>
      <c r="V114" s="21"/>
    </row>
    <row r="115">
      <c r="U115" s="21"/>
      <c r="V115" s="21"/>
    </row>
    <row r="116">
      <c r="U116" s="21"/>
      <c r="V116" s="21"/>
    </row>
    <row r="117">
      <c r="U117" s="21"/>
      <c r="V117" s="21"/>
    </row>
    <row r="118">
      <c r="U118" s="21"/>
      <c r="V118" s="21"/>
    </row>
    <row r="119">
      <c r="U119" s="21"/>
      <c r="V119" s="21"/>
    </row>
    <row r="120">
      <c r="U120" s="21"/>
      <c r="V120" s="21"/>
    </row>
    <row r="121">
      <c r="U121" s="21"/>
      <c r="V121" s="21"/>
    </row>
    <row r="122">
      <c r="U122" s="21"/>
      <c r="V122" s="21"/>
    </row>
    <row r="123">
      <c r="U123" s="21"/>
      <c r="V123" s="21"/>
    </row>
    <row r="124">
      <c r="U124" s="21"/>
      <c r="V124" s="21"/>
    </row>
    <row r="125">
      <c r="U125" s="21"/>
      <c r="V125" s="21"/>
    </row>
    <row r="126">
      <c r="U126" s="21"/>
      <c r="V126" s="21"/>
    </row>
    <row r="127">
      <c r="U127" s="21"/>
      <c r="V127" s="21"/>
    </row>
    <row r="128">
      <c r="U128" s="21"/>
      <c r="V128" s="21"/>
    </row>
    <row r="129">
      <c r="U129" s="21"/>
      <c r="V129" s="21"/>
    </row>
    <row r="130">
      <c r="U130" s="21"/>
      <c r="V130" s="21"/>
    </row>
    <row r="131">
      <c r="U131" s="21"/>
      <c r="V131" s="21"/>
    </row>
    <row r="132">
      <c r="U132" s="21"/>
      <c r="V132" s="21"/>
    </row>
    <row r="133">
      <c r="U133" s="21"/>
      <c r="V133" s="21"/>
    </row>
    <row r="134">
      <c r="U134" s="21"/>
      <c r="V134" s="21"/>
    </row>
    <row r="135">
      <c r="U135" s="21"/>
      <c r="V135" s="21"/>
    </row>
    <row r="136">
      <c r="U136" s="21"/>
      <c r="V136" s="21"/>
    </row>
    <row r="137">
      <c r="U137" s="21"/>
      <c r="V137" s="21"/>
    </row>
    <row r="138">
      <c r="U138" s="21"/>
      <c r="V138" s="21"/>
    </row>
    <row r="139">
      <c r="U139" s="21"/>
      <c r="V139" s="21"/>
    </row>
    <row r="140">
      <c r="U140" s="21"/>
      <c r="V140" s="21"/>
    </row>
    <row r="141">
      <c r="U141" s="21"/>
      <c r="V141" s="21"/>
    </row>
    <row r="142">
      <c r="U142" s="21"/>
      <c r="V142" s="21"/>
    </row>
    <row r="143">
      <c r="U143" s="21"/>
      <c r="V143" s="21"/>
    </row>
    <row r="144">
      <c r="U144" s="21"/>
      <c r="V144" s="21"/>
    </row>
    <row r="145">
      <c r="U145" s="21"/>
      <c r="V145" s="21"/>
    </row>
    <row r="146">
      <c r="U146" s="21"/>
      <c r="V146" s="21"/>
    </row>
    <row r="147">
      <c r="U147" s="21"/>
      <c r="V147" s="21"/>
    </row>
    <row r="148">
      <c r="U148" s="21"/>
      <c r="V148" s="21"/>
    </row>
    <row r="149">
      <c r="U149" s="21"/>
      <c r="V149" s="21"/>
    </row>
    <row r="150">
      <c r="U150" s="21"/>
      <c r="V150" s="21"/>
    </row>
    <row r="151">
      <c r="U151" s="21"/>
      <c r="V151" s="21"/>
    </row>
    <row r="152">
      <c r="U152" s="21"/>
      <c r="V152" s="21"/>
    </row>
    <row r="153">
      <c r="U153" s="21"/>
      <c r="V153" s="21"/>
    </row>
    <row r="154">
      <c r="U154" s="21"/>
      <c r="V154" s="21"/>
    </row>
    <row r="155">
      <c r="U155" s="21"/>
      <c r="V155" s="21"/>
    </row>
    <row r="156">
      <c r="U156" s="21"/>
      <c r="V156" s="21"/>
    </row>
    <row r="157">
      <c r="U157" s="21"/>
      <c r="V157" s="21"/>
    </row>
    <row r="158">
      <c r="U158" s="21"/>
      <c r="V158" s="21"/>
    </row>
    <row r="159">
      <c r="U159" s="21"/>
      <c r="V159" s="21"/>
    </row>
    <row r="160">
      <c r="U160" s="21"/>
      <c r="V160" s="21"/>
    </row>
    <row r="161">
      <c r="U161" s="21"/>
      <c r="V161" s="21"/>
    </row>
    <row r="162">
      <c r="U162" s="21"/>
      <c r="V162" s="21"/>
    </row>
    <row r="163">
      <c r="U163" s="21"/>
      <c r="V163" s="21"/>
    </row>
    <row r="164">
      <c r="U164" s="21"/>
      <c r="V164" s="21"/>
    </row>
    <row r="165">
      <c r="U165" s="21"/>
      <c r="V165" s="21"/>
    </row>
    <row r="166">
      <c r="U166" s="21"/>
      <c r="V166" s="21"/>
    </row>
    <row r="167">
      <c r="U167" s="21"/>
      <c r="V167" s="21"/>
    </row>
    <row r="168">
      <c r="U168" s="21"/>
      <c r="V168" s="21"/>
    </row>
    <row r="169">
      <c r="U169" s="21"/>
      <c r="V169" s="21"/>
    </row>
    <row r="170">
      <c r="U170" s="21"/>
      <c r="V170" s="21"/>
    </row>
    <row r="171">
      <c r="U171" s="21"/>
      <c r="V171" s="21"/>
    </row>
    <row r="172">
      <c r="U172" s="21"/>
      <c r="V172" s="21"/>
    </row>
    <row r="173">
      <c r="U173" s="21"/>
      <c r="V173" s="21"/>
    </row>
    <row r="174">
      <c r="U174" s="21"/>
      <c r="V174" s="21"/>
    </row>
    <row r="175">
      <c r="U175" s="21"/>
      <c r="V175" s="21"/>
    </row>
    <row r="176">
      <c r="U176" s="21"/>
      <c r="V176" s="21"/>
    </row>
    <row r="177">
      <c r="U177" s="21"/>
      <c r="V177" s="21"/>
    </row>
    <row r="178">
      <c r="U178" s="21"/>
      <c r="V178" s="21"/>
    </row>
    <row r="179">
      <c r="U179" s="21"/>
      <c r="V179" s="21"/>
    </row>
    <row r="180">
      <c r="U180" s="21"/>
      <c r="V180" s="21"/>
    </row>
    <row r="181">
      <c r="U181" s="21"/>
      <c r="V181" s="21"/>
    </row>
    <row r="182">
      <c r="U182" s="21"/>
      <c r="V182" s="21"/>
    </row>
    <row r="183">
      <c r="U183" s="21"/>
      <c r="V183" s="21"/>
    </row>
    <row r="184">
      <c r="U184" s="21"/>
      <c r="V184" s="21"/>
    </row>
    <row r="185">
      <c r="U185" s="21"/>
      <c r="V185" s="21"/>
    </row>
    <row r="186">
      <c r="U186" s="21"/>
      <c r="V186" s="21"/>
    </row>
    <row r="187">
      <c r="U187" s="21"/>
      <c r="V187" s="21"/>
    </row>
    <row r="188">
      <c r="U188" s="21"/>
      <c r="V188" s="21"/>
    </row>
    <row r="189">
      <c r="U189" s="21"/>
      <c r="V189" s="21"/>
    </row>
    <row r="190">
      <c r="U190" s="21"/>
      <c r="V190" s="21"/>
    </row>
    <row r="191">
      <c r="U191" s="21"/>
      <c r="V191" s="21"/>
    </row>
    <row r="192">
      <c r="U192" s="21"/>
      <c r="V192" s="21"/>
    </row>
    <row r="193">
      <c r="U193" s="21"/>
      <c r="V193" s="21"/>
    </row>
    <row r="194">
      <c r="U194" s="21"/>
      <c r="V194" s="21"/>
    </row>
    <row r="195">
      <c r="U195" s="21"/>
      <c r="V195" s="21"/>
    </row>
    <row r="196">
      <c r="U196" s="21"/>
      <c r="V196" s="21"/>
    </row>
    <row r="197">
      <c r="U197" s="21"/>
      <c r="V197" s="21"/>
    </row>
    <row r="198">
      <c r="U198" s="21"/>
      <c r="V198" s="21"/>
    </row>
    <row r="199">
      <c r="U199" s="21"/>
      <c r="V199" s="21"/>
    </row>
    <row r="200">
      <c r="U200" s="21"/>
      <c r="V200" s="21"/>
    </row>
    <row r="201">
      <c r="U201" s="21"/>
      <c r="V201" s="21"/>
    </row>
    <row r="202">
      <c r="U202" s="21"/>
      <c r="V202" s="21"/>
    </row>
    <row r="203">
      <c r="U203" s="21"/>
      <c r="V203" s="21"/>
    </row>
    <row r="204">
      <c r="U204" s="21"/>
      <c r="V204" s="21"/>
    </row>
    <row r="205">
      <c r="U205" s="21"/>
      <c r="V205" s="21"/>
    </row>
    <row r="206">
      <c r="U206" s="21"/>
      <c r="V206" s="21"/>
    </row>
    <row r="207">
      <c r="U207" s="21"/>
      <c r="V207" s="21"/>
    </row>
    <row r="208">
      <c r="U208" s="21"/>
      <c r="V208" s="21"/>
    </row>
    <row r="209">
      <c r="U209" s="21"/>
      <c r="V209" s="21"/>
    </row>
    <row r="210">
      <c r="U210" s="21"/>
      <c r="V210" s="21"/>
    </row>
    <row r="211">
      <c r="U211" s="21"/>
      <c r="V211" s="21"/>
    </row>
    <row r="212">
      <c r="U212" s="21"/>
      <c r="V212" s="21"/>
    </row>
    <row r="213">
      <c r="U213" s="21"/>
      <c r="V213" s="21"/>
    </row>
    <row r="214">
      <c r="U214" s="21"/>
      <c r="V214" s="21"/>
    </row>
    <row r="215">
      <c r="U215" s="21"/>
      <c r="V215" s="21"/>
    </row>
    <row r="216">
      <c r="U216" s="21"/>
      <c r="V216" s="21"/>
    </row>
    <row r="217">
      <c r="U217" s="21"/>
      <c r="V217" s="21"/>
    </row>
    <row r="218">
      <c r="U218" s="21"/>
      <c r="V218" s="21"/>
    </row>
    <row r="219">
      <c r="U219" s="21"/>
      <c r="V219" s="21"/>
    </row>
    <row r="220">
      <c r="U220" s="21"/>
      <c r="V220" s="21"/>
    </row>
    <row r="221">
      <c r="U221" s="21"/>
      <c r="V221" s="21"/>
    </row>
    <row r="222">
      <c r="U222" s="21"/>
      <c r="V222" s="21"/>
    </row>
    <row r="223">
      <c r="U223" s="21"/>
      <c r="V223" s="21"/>
    </row>
    <row r="224">
      <c r="U224" s="21"/>
      <c r="V224" s="21"/>
    </row>
    <row r="225">
      <c r="U225" s="21"/>
      <c r="V225" s="21"/>
    </row>
    <row r="226">
      <c r="U226" s="21"/>
      <c r="V226" s="21"/>
    </row>
    <row r="227">
      <c r="U227" s="21"/>
      <c r="V227" s="21"/>
    </row>
    <row r="228">
      <c r="U228" s="21"/>
      <c r="V228" s="21"/>
    </row>
    <row r="229">
      <c r="U229" s="21"/>
      <c r="V229" s="21"/>
    </row>
    <row r="230">
      <c r="U230" s="21"/>
      <c r="V230" s="21"/>
    </row>
    <row r="231">
      <c r="U231" s="21"/>
      <c r="V231" s="21"/>
    </row>
    <row r="232">
      <c r="U232" s="21"/>
      <c r="V232" s="21"/>
    </row>
    <row r="233">
      <c r="U233" s="21"/>
      <c r="V233" s="21"/>
    </row>
    <row r="234">
      <c r="U234" s="21"/>
      <c r="V234" s="21"/>
    </row>
    <row r="235">
      <c r="U235" s="21"/>
      <c r="V235" s="21"/>
    </row>
    <row r="236">
      <c r="U236" s="21"/>
      <c r="V236" s="21"/>
    </row>
    <row r="237">
      <c r="U237" s="21"/>
      <c r="V237" s="21"/>
    </row>
    <row r="238">
      <c r="U238" s="21"/>
      <c r="V238" s="21"/>
    </row>
    <row r="239">
      <c r="U239" s="21"/>
      <c r="V239" s="21"/>
    </row>
    <row r="240">
      <c r="U240" s="21"/>
      <c r="V240" s="21"/>
    </row>
    <row r="241">
      <c r="U241" s="21"/>
      <c r="V241" s="21"/>
    </row>
    <row r="242">
      <c r="U242" s="21"/>
      <c r="V242" s="21"/>
    </row>
    <row r="243">
      <c r="U243" s="21"/>
      <c r="V243" s="21"/>
    </row>
    <row r="244">
      <c r="U244" s="21"/>
      <c r="V244" s="21"/>
    </row>
    <row r="245">
      <c r="U245" s="21"/>
      <c r="V245" s="21"/>
    </row>
    <row r="246">
      <c r="U246" s="21"/>
      <c r="V246" s="21"/>
    </row>
    <row r="247">
      <c r="U247" s="21"/>
      <c r="V247" s="21"/>
    </row>
    <row r="248">
      <c r="U248" s="21"/>
      <c r="V248" s="21"/>
    </row>
    <row r="249">
      <c r="U249" s="21"/>
      <c r="V249" s="21"/>
    </row>
    <row r="250">
      <c r="U250" s="21"/>
      <c r="V250" s="21"/>
    </row>
    <row r="251">
      <c r="U251" s="21"/>
      <c r="V251" s="21"/>
    </row>
    <row r="252">
      <c r="U252" s="21"/>
      <c r="V252" s="21"/>
    </row>
    <row r="253">
      <c r="U253" s="21"/>
      <c r="V253" s="21"/>
    </row>
    <row r="254">
      <c r="U254" s="21"/>
      <c r="V254" s="21"/>
    </row>
    <row r="255">
      <c r="U255" s="21"/>
      <c r="V255" s="21"/>
    </row>
    <row r="256">
      <c r="U256" s="21"/>
      <c r="V256" s="21"/>
    </row>
    <row r="257">
      <c r="U257" s="21"/>
      <c r="V257" s="21"/>
    </row>
    <row r="258">
      <c r="U258" s="21"/>
      <c r="V258" s="21"/>
    </row>
    <row r="259">
      <c r="U259" s="21"/>
      <c r="V259" s="21"/>
    </row>
    <row r="260">
      <c r="U260" s="21"/>
      <c r="V260" s="21"/>
    </row>
    <row r="261">
      <c r="U261" s="21"/>
      <c r="V261" s="21"/>
    </row>
    <row r="262">
      <c r="U262" s="21"/>
      <c r="V262" s="21"/>
    </row>
    <row r="263">
      <c r="U263" s="21"/>
      <c r="V263" s="21"/>
    </row>
    <row r="264">
      <c r="U264" s="21"/>
      <c r="V264" s="21"/>
    </row>
    <row r="265">
      <c r="U265" s="21"/>
      <c r="V265" s="21"/>
    </row>
    <row r="266">
      <c r="U266" s="21"/>
      <c r="V266" s="21"/>
    </row>
    <row r="267">
      <c r="U267" s="21"/>
      <c r="V267" s="21"/>
    </row>
    <row r="268">
      <c r="U268" s="21"/>
      <c r="V268" s="21"/>
    </row>
    <row r="269">
      <c r="U269" s="21"/>
      <c r="V269" s="21"/>
    </row>
    <row r="270">
      <c r="U270" s="21"/>
      <c r="V270" s="21"/>
    </row>
    <row r="271">
      <c r="U271" s="21"/>
      <c r="V271" s="21"/>
    </row>
    <row r="272">
      <c r="U272" s="21"/>
      <c r="V272" s="21"/>
    </row>
    <row r="273">
      <c r="U273" s="21"/>
      <c r="V273" s="21"/>
    </row>
    <row r="274">
      <c r="U274" s="21"/>
      <c r="V274" s="21"/>
    </row>
    <row r="275">
      <c r="U275" s="21"/>
      <c r="V275" s="21"/>
    </row>
    <row r="276">
      <c r="U276" s="21"/>
      <c r="V276" s="21"/>
    </row>
    <row r="277">
      <c r="U277" s="21"/>
      <c r="V277" s="21"/>
    </row>
    <row r="278">
      <c r="U278" s="21"/>
      <c r="V278" s="21"/>
    </row>
    <row r="279">
      <c r="U279" s="21"/>
      <c r="V279" s="21"/>
    </row>
    <row r="280">
      <c r="U280" s="21"/>
      <c r="V280" s="21"/>
    </row>
    <row r="281">
      <c r="U281" s="21"/>
      <c r="V281" s="21"/>
    </row>
    <row r="282">
      <c r="U282" s="21"/>
      <c r="V282" s="21"/>
    </row>
    <row r="283">
      <c r="U283" s="21"/>
      <c r="V283" s="21"/>
    </row>
    <row r="284">
      <c r="U284" s="21"/>
      <c r="V284" s="21"/>
    </row>
    <row r="285">
      <c r="U285" s="21"/>
      <c r="V285" s="21"/>
    </row>
    <row r="286">
      <c r="U286" s="21"/>
      <c r="V286" s="21"/>
    </row>
    <row r="287">
      <c r="U287" s="21"/>
      <c r="V287" s="21"/>
    </row>
    <row r="288">
      <c r="U288" s="21"/>
      <c r="V288" s="21"/>
    </row>
    <row r="289">
      <c r="U289" s="21"/>
      <c r="V289" s="21"/>
    </row>
    <row r="290">
      <c r="U290" s="21"/>
      <c r="V290" s="21"/>
    </row>
    <row r="291">
      <c r="U291" s="21"/>
      <c r="V291" s="21"/>
    </row>
    <row r="292">
      <c r="U292" s="21"/>
      <c r="V292" s="21"/>
    </row>
    <row r="293">
      <c r="U293" s="21"/>
      <c r="V293" s="21"/>
    </row>
    <row r="294">
      <c r="U294" s="21"/>
      <c r="V294" s="21"/>
    </row>
    <row r="295">
      <c r="U295" s="21"/>
      <c r="V295" s="21"/>
    </row>
    <row r="296">
      <c r="U296" s="21"/>
      <c r="V296" s="21"/>
    </row>
    <row r="297">
      <c r="U297" s="21"/>
      <c r="V297" s="21"/>
    </row>
    <row r="298">
      <c r="U298" s="21"/>
      <c r="V298" s="21"/>
    </row>
    <row r="299">
      <c r="U299" s="21"/>
      <c r="V299" s="21"/>
    </row>
    <row r="300">
      <c r="U300" s="21"/>
      <c r="V300" s="21"/>
    </row>
    <row r="301">
      <c r="U301" s="21"/>
      <c r="V301" s="21"/>
    </row>
    <row r="302">
      <c r="U302" s="21"/>
      <c r="V302" s="21"/>
    </row>
    <row r="303">
      <c r="U303" s="21"/>
      <c r="V303" s="21"/>
    </row>
    <row r="304">
      <c r="U304" s="21"/>
      <c r="V304" s="21"/>
    </row>
    <row r="305">
      <c r="U305" s="21"/>
      <c r="V305" s="21"/>
    </row>
    <row r="306">
      <c r="U306" s="21"/>
      <c r="V306" s="21"/>
    </row>
    <row r="307">
      <c r="U307" s="21"/>
      <c r="V307" s="21"/>
    </row>
    <row r="308">
      <c r="U308" s="21"/>
      <c r="V308" s="21"/>
    </row>
    <row r="309">
      <c r="U309" s="21"/>
      <c r="V309" s="21"/>
    </row>
    <row r="310">
      <c r="U310" s="21"/>
      <c r="V310" s="21"/>
    </row>
    <row r="311">
      <c r="U311" s="21"/>
      <c r="V311" s="21"/>
    </row>
    <row r="312">
      <c r="U312" s="21"/>
      <c r="V312" s="21"/>
    </row>
    <row r="313">
      <c r="U313" s="21"/>
      <c r="V313" s="21"/>
    </row>
    <row r="314">
      <c r="U314" s="21"/>
      <c r="V314" s="21"/>
    </row>
    <row r="315">
      <c r="U315" s="21"/>
      <c r="V315" s="21"/>
    </row>
    <row r="316">
      <c r="U316" s="21"/>
      <c r="V316" s="21"/>
    </row>
    <row r="317">
      <c r="U317" s="21"/>
      <c r="V317" s="21"/>
    </row>
    <row r="318">
      <c r="U318" s="21"/>
      <c r="V318" s="21"/>
    </row>
    <row r="319">
      <c r="U319" s="21"/>
      <c r="V319" s="21"/>
    </row>
    <row r="320">
      <c r="U320" s="21"/>
      <c r="V320" s="21"/>
    </row>
    <row r="321">
      <c r="U321" s="21"/>
      <c r="V321" s="21"/>
    </row>
    <row r="322">
      <c r="U322" s="21"/>
      <c r="V322" s="21"/>
    </row>
    <row r="323">
      <c r="U323" s="21"/>
      <c r="V323" s="21"/>
    </row>
    <row r="324">
      <c r="U324" s="21"/>
      <c r="V324" s="21"/>
    </row>
    <row r="325">
      <c r="U325" s="21"/>
      <c r="V325" s="21"/>
    </row>
    <row r="326">
      <c r="U326" s="21"/>
      <c r="V326" s="21"/>
    </row>
    <row r="327">
      <c r="U327" s="21"/>
      <c r="V327" s="21"/>
    </row>
    <row r="328">
      <c r="U328" s="21"/>
      <c r="V328" s="21"/>
    </row>
    <row r="329">
      <c r="U329" s="21"/>
      <c r="V329" s="21"/>
    </row>
    <row r="330">
      <c r="U330" s="21"/>
      <c r="V330" s="21"/>
    </row>
    <row r="331">
      <c r="U331" s="21"/>
      <c r="V331" s="21"/>
    </row>
    <row r="332">
      <c r="U332" s="21"/>
      <c r="V332" s="21"/>
    </row>
    <row r="333">
      <c r="U333" s="21"/>
      <c r="V333" s="21"/>
    </row>
    <row r="334">
      <c r="U334" s="21"/>
      <c r="V334" s="21"/>
    </row>
    <row r="335">
      <c r="U335" s="21"/>
      <c r="V335" s="21"/>
    </row>
    <row r="336">
      <c r="U336" s="21"/>
      <c r="V336" s="21"/>
    </row>
    <row r="337">
      <c r="U337" s="21"/>
      <c r="V337" s="21"/>
    </row>
    <row r="338">
      <c r="U338" s="21"/>
      <c r="V338" s="21"/>
    </row>
    <row r="339">
      <c r="U339" s="21"/>
      <c r="V339" s="21"/>
    </row>
    <row r="340">
      <c r="U340" s="21"/>
      <c r="V340" s="21"/>
    </row>
    <row r="341">
      <c r="U341" s="21"/>
      <c r="V341" s="21"/>
    </row>
    <row r="342">
      <c r="U342" s="21"/>
      <c r="V342" s="21"/>
    </row>
    <row r="343">
      <c r="U343" s="21"/>
      <c r="V343" s="21"/>
    </row>
    <row r="344">
      <c r="U344" s="21"/>
      <c r="V344" s="21"/>
    </row>
    <row r="345">
      <c r="U345" s="21"/>
      <c r="V345" s="21"/>
    </row>
    <row r="346">
      <c r="U346" s="21"/>
      <c r="V346" s="21"/>
    </row>
    <row r="347">
      <c r="U347" s="21"/>
      <c r="V347" s="21"/>
    </row>
    <row r="348">
      <c r="U348" s="21"/>
      <c r="V348" s="21"/>
    </row>
    <row r="349">
      <c r="U349" s="21"/>
      <c r="V349" s="21"/>
    </row>
    <row r="350">
      <c r="U350" s="21"/>
      <c r="V350" s="21"/>
    </row>
    <row r="351">
      <c r="U351" s="21"/>
      <c r="V351" s="21"/>
    </row>
    <row r="352">
      <c r="U352" s="21"/>
      <c r="V352" s="21"/>
    </row>
    <row r="353">
      <c r="U353" s="21"/>
      <c r="V353" s="21"/>
    </row>
    <row r="354">
      <c r="U354" s="21"/>
      <c r="V354" s="21"/>
    </row>
    <row r="355">
      <c r="U355" s="21"/>
      <c r="V355" s="21"/>
    </row>
    <row r="356">
      <c r="U356" s="21"/>
      <c r="V356" s="21"/>
    </row>
    <row r="357">
      <c r="U357" s="21"/>
      <c r="V357" s="21"/>
    </row>
    <row r="358">
      <c r="U358" s="21"/>
      <c r="V358" s="21"/>
    </row>
    <row r="359">
      <c r="U359" s="21"/>
      <c r="V359" s="21"/>
    </row>
    <row r="360">
      <c r="U360" s="21"/>
      <c r="V360" s="21"/>
    </row>
    <row r="361">
      <c r="U361" s="21"/>
      <c r="V361" s="21"/>
    </row>
    <row r="362">
      <c r="U362" s="21"/>
      <c r="V362" s="21"/>
    </row>
    <row r="363">
      <c r="U363" s="21"/>
      <c r="V363" s="21"/>
    </row>
    <row r="364">
      <c r="U364" s="21"/>
      <c r="V364" s="21"/>
    </row>
    <row r="365">
      <c r="U365" s="21"/>
      <c r="V365" s="21"/>
    </row>
    <row r="366">
      <c r="U366" s="21"/>
      <c r="V366" s="21"/>
    </row>
    <row r="367">
      <c r="U367" s="21"/>
      <c r="V367" s="21"/>
    </row>
    <row r="368">
      <c r="U368" s="21"/>
      <c r="V368" s="21"/>
    </row>
    <row r="369">
      <c r="U369" s="21"/>
      <c r="V369" s="21"/>
    </row>
    <row r="370">
      <c r="U370" s="21"/>
      <c r="V370" s="21"/>
    </row>
    <row r="371">
      <c r="U371" s="21"/>
      <c r="V371" s="21"/>
    </row>
    <row r="372">
      <c r="U372" s="21"/>
      <c r="V372" s="21"/>
    </row>
    <row r="373">
      <c r="U373" s="21"/>
      <c r="V373" s="21"/>
    </row>
    <row r="374">
      <c r="U374" s="21"/>
      <c r="V374" s="21"/>
    </row>
    <row r="375">
      <c r="U375" s="21"/>
      <c r="V375" s="21"/>
    </row>
    <row r="376">
      <c r="U376" s="21"/>
      <c r="V376" s="21"/>
    </row>
    <row r="377">
      <c r="U377" s="21"/>
      <c r="V377" s="21"/>
    </row>
    <row r="378">
      <c r="U378" s="21"/>
      <c r="V378" s="21"/>
    </row>
    <row r="379">
      <c r="U379" s="21"/>
      <c r="V379" s="21"/>
    </row>
    <row r="380">
      <c r="U380" s="21"/>
      <c r="V380" s="21"/>
    </row>
    <row r="381">
      <c r="U381" s="21"/>
      <c r="V381" s="21"/>
    </row>
    <row r="382">
      <c r="U382" s="21"/>
      <c r="V382" s="21"/>
    </row>
    <row r="383">
      <c r="U383" s="21"/>
      <c r="V383" s="21"/>
    </row>
    <row r="384">
      <c r="U384" s="21"/>
      <c r="V384" s="21"/>
    </row>
    <row r="385">
      <c r="U385" s="21"/>
      <c r="V385" s="21"/>
    </row>
    <row r="386">
      <c r="U386" s="21"/>
      <c r="V386" s="21"/>
    </row>
    <row r="387">
      <c r="U387" s="21"/>
      <c r="V387" s="21"/>
    </row>
    <row r="388">
      <c r="U388" s="21"/>
      <c r="V388" s="21"/>
    </row>
    <row r="389">
      <c r="U389" s="21"/>
      <c r="V389" s="21"/>
    </row>
    <row r="390">
      <c r="U390" s="21"/>
      <c r="V390" s="21"/>
    </row>
    <row r="391">
      <c r="U391" s="21"/>
      <c r="V391" s="21"/>
    </row>
    <row r="392">
      <c r="U392" s="21"/>
      <c r="V392" s="21"/>
    </row>
    <row r="393">
      <c r="U393" s="21"/>
      <c r="V393" s="21"/>
    </row>
    <row r="394">
      <c r="U394" s="21"/>
      <c r="V394" s="21"/>
    </row>
    <row r="395">
      <c r="U395" s="21"/>
      <c r="V395" s="21"/>
    </row>
    <row r="396">
      <c r="U396" s="21"/>
      <c r="V396" s="21"/>
    </row>
    <row r="397">
      <c r="U397" s="21"/>
      <c r="V397" s="21"/>
    </row>
    <row r="398">
      <c r="U398" s="21"/>
      <c r="V398" s="21"/>
    </row>
    <row r="399">
      <c r="U399" s="21"/>
      <c r="V399" s="21"/>
    </row>
    <row r="400">
      <c r="U400" s="21"/>
      <c r="V400" s="21"/>
    </row>
    <row r="401">
      <c r="U401" s="21"/>
      <c r="V401" s="21"/>
    </row>
    <row r="402">
      <c r="U402" s="21"/>
      <c r="V402" s="21"/>
    </row>
    <row r="403">
      <c r="U403" s="21"/>
      <c r="V403" s="21"/>
    </row>
    <row r="404">
      <c r="U404" s="21"/>
      <c r="V404" s="21"/>
    </row>
    <row r="405">
      <c r="U405" s="21"/>
      <c r="V405" s="21"/>
    </row>
    <row r="406">
      <c r="U406" s="21"/>
      <c r="V406" s="21"/>
    </row>
    <row r="407">
      <c r="U407" s="21"/>
      <c r="V407" s="21"/>
    </row>
    <row r="408">
      <c r="U408" s="21"/>
      <c r="V408" s="21"/>
    </row>
    <row r="409">
      <c r="U409" s="21"/>
      <c r="V409" s="21"/>
    </row>
    <row r="410">
      <c r="U410" s="21"/>
      <c r="V410" s="21"/>
    </row>
    <row r="411">
      <c r="U411" s="21"/>
      <c r="V411" s="21"/>
    </row>
    <row r="412">
      <c r="U412" s="21"/>
      <c r="V412" s="21"/>
    </row>
    <row r="413">
      <c r="U413" s="21"/>
      <c r="V413" s="21"/>
    </row>
    <row r="414">
      <c r="U414" s="21"/>
      <c r="V414" s="21"/>
    </row>
    <row r="415">
      <c r="U415" s="21"/>
      <c r="V415" s="21"/>
    </row>
    <row r="416">
      <c r="U416" s="21"/>
      <c r="V416" s="21"/>
    </row>
    <row r="417">
      <c r="U417" s="21"/>
      <c r="V417" s="21"/>
    </row>
    <row r="418">
      <c r="U418" s="21"/>
      <c r="V418" s="21"/>
    </row>
    <row r="419">
      <c r="U419" s="21"/>
      <c r="V419" s="21"/>
    </row>
    <row r="420">
      <c r="U420" s="21"/>
      <c r="V420" s="21"/>
    </row>
    <row r="421">
      <c r="U421" s="21"/>
      <c r="V421" s="21"/>
    </row>
    <row r="422">
      <c r="U422" s="21"/>
      <c r="V422" s="21"/>
    </row>
    <row r="423">
      <c r="U423" s="21"/>
      <c r="V423" s="21"/>
    </row>
    <row r="424">
      <c r="U424" s="21"/>
      <c r="V424" s="21"/>
    </row>
    <row r="425">
      <c r="U425" s="21"/>
      <c r="V425" s="21"/>
    </row>
    <row r="426">
      <c r="U426" s="21"/>
      <c r="V426" s="21"/>
    </row>
    <row r="427">
      <c r="U427" s="21"/>
      <c r="V427" s="21"/>
    </row>
    <row r="428">
      <c r="U428" s="21"/>
      <c r="V428" s="21"/>
    </row>
    <row r="429">
      <c r="U429" s="21"/>
      <c r="V429" s="21"/>
    </row>
    <row r="430">
      <c r="U430" s="21"/>
      <c r="V430" s="21"/>
    </row>
    <row r="431">
      <c r="U431" s="21"/>
      <c r="V431" s="21"/>
    </row>
    <row r="432">
      <c r="U432" s="21"/>
      <c r="V432" s="21"/>
    </row>
    <row r="433">
      <c r="U433" s="21"/>
      <c r="V433" s="21"/>
    </row>
    <row r="434">
      <c r="U434" s="21"/>
      <c r="V434" s="21"/>
    </row>
    <row r="435">
      <c r="U435" s="21"/>
      <c r="V435" s="21"/>
    </row>
    <row r="436">
      <c r="U436" s="21"/>
      <c r="V436" s="21"/>
    </row>
    <row r="437">
      <c r="U437" s="21"/>
      <c r="V437" s="21"/>
    </row>
    <row r="438">
      <c r="U438" s="21"/>
      <c r="V438" s="21"/>
    </row>
    <row r="439">
      <c r="U439" s="21"/>
      <c r="V439" s="21"/>
    </row>
    <row r="440">
      <c r="U440" s="21"/>
      <c r="V440" s="21"/>
    </row>
    <row r="441">
      <c r="U441" s="21"/>
      <c r="V441" s="21"/>
    </row>
    <row r="442">
      <c r="U442" s="21"/>
      <c r="V442" s="21"/>
    </row>
    <row r="443">
      <c r="U443" s="21"/>
      <c r="V443" s="21"/>
    </row>
    <row r="444">
      <c r="U444" s="21"/>
      <c r="V444" s="21"/>
    </row>
    <row r="445">
      <c r="U445" s="21"/>
      <c r="V445" s="21"/>
    </row>
    <row r="446">
      <c r="U446" s="21"/>
      <c r="V446" s="21"/>
    </row>
    <row r="447">
      <c r="U447" s="21"/>
      <c r="V447" s="21"/>
    </row>
    <row r="448">
      <c r="U448" s="21"/>
      <c r="V448" s="21"/>
    </row>
    <row r="449">
      <c r="U449" s="21"/>
      <c r="V449" s="21"/>
    </row>
    <row r="450">
      <c r="U450" s="21"/>
      <c r="V450" s="21"/>
    </row>
    <row r="451">
      <c r="U451" s="21"/>
      <c r="V451" s="21"/>
    </row>
    <row r="452">
      <c r="U452" s="21"/>
      <c r="V452" s="21"/>
    </row>
    <row r="453">
      <c r="U453" s="21"/>
      <c r="V453" s="21"/>
    </row>
    <row r="454">
      <c r="U454" s="21"/>
      <c r="V454" s="21"/>
    </row>
    <row r="455">
      <c r="U455" s="21"/>
      <c r="V455" s="21"/>
    </row>
    <row r="456">
      <c r="U456" s="21"/>
      <c r="V456" s="21"/>
    </row>
    <row r="457">
      <c r="U457" s="21"/>
      <c r="V457" s="21"/>
    </row>
    <row r="458">
      <c r="U458" s="21"/>
      <c r="V458" s="21"/>
    </row>
    <row r="459">
      <c r="U459" s="21"/>
      <c r="V459" s="21"/>
    </row>
    <row r="460">
      <c r="U460" s="21"/>
      <c r="V460" s="21"/>
    </row>
    <row r="461">
      <c r="U461" s="21"/>
      <c r="V461" s="21"/>
    </row>
    <row r="462">
      <c r="U462" s="21"/>
      <c r="V462" s="21"/>
    </row>
    <row r="463">
      <c r="U463" s="21"/>
      <c r="V463" s="21"/>
    </row>
    <row r="464">
      <c r="U464" s="21"/>
      <c r="V464" s="21"/>
    </row>
    <row r="465">
      <c r="U465" s="21"/>
      <c r="V465" s="21"/>
    </row>
    <row r="466">
      <c r="U466" s="21"/>
      <c r="V466" s="21"/>
    </row>
    <row r="467">
      <c r="U467" s="21"/>
      <c r="V467" s="21"/>
    </row>
    <row r="468">
      <c r="U468" s="21"/>
      <c r="V468" s="21"/>
    </row>
    <row r="469">
      <c r="U469" s="21"/>
      <c r="V469" s="21"/>
    </row>
    <row r="470">
      <c r="U470" s="21"/>
      <c r="V470" s="21"/>
    </row>
    <row r="471">
      <c r="U471" s="21"/>
      <c r="V471" s="21"/>
    </row>
    <row r="472">
      <c r="U472" s="21"/>
      <c r="V472" s="21"/>
    </row>
    <row r="473">
      <c r="U473" s="21"/>
      <c r="V473" s="21"/>
    </row>
    <row r="474">
      <c r="U474" s="21"/>
      <c r="V474" s="21"/>
    </row>
    <row r="475">
      <c r="U475" s="21"/>
      <c r="V475" s="21"/>
    </row>
    <row r="476">
      <c r="U476" s="21"/>
      <c r="V476" s="21"/>
    </row>
    <row r="477">
      <c r="U477" s="21"/>
      <c r="V477" s="21"/>
    </row>
    <row r="478">
      <c r="U478" s="21"/>
      <c r="V478" s="21"/>
    </row>
    <row r="479">
      <c r="U479" s="21"/>
      <c r="V479" s="21"/>
    </row>
    <row r="480">
      <c r="U480" s="21"/>
      <c r="V480" s="21"/>
    </row>
    <row r="481">
      <c r="U481" s="21"/>
      <c r="V481" s="21"/>
    </row>
    <row r="482">
      <c r="U482" s="21"/>
      <c r="V482" s="21"/>
    </row>
    <row r="483">
      <c r="U483" s="21"/>
      <c r="V483" s="21"/>
    </row>
    <row r="484">
      <c r="U484" s="21"/>
      <c r="V484" s="21"/>
    </row>
    <row r="485">
      <c r="U485" s="21"/>
      <c r="V485" s="21"/>
    </row>
    <row r="486">
      <c r="U486" s="21"/>
      <c r="V486" s="21"/>
    </row>
    <row r="487">
      <c r="U487" s="21"/>
      <c r="V487" s="21"/>
    </row>
    <row r="488">
      <c r="U488" s="21"/>
      <c r="V488" s="21"/>
    </row>
    <row r="489">
      <c r="U489" s="21"/>
      <c r="V489" s="21"/>
    </row>
    <row r="490">
      <c r="U490" s="21"/>
      <c r="V490" s="21"/>
    </row>
    <row r="491">
      <c r="U491" s="21"/>
      <c r="V491" s="21"/>
    </row>
    <row r="492">
      <c r="U492" s="21"/>
      <c r="V492" s="21"/>
    </row>
    <row r="493">
      <c r="U493" s="21"/>
      <c r="V493" s="21"/>
    </row>
    <row r="494">
      <c r="U494" s="21"/>
      <c r="V494" s="21"/>
    </row>
    <row r="495">
      <c r="U495" s="21"/>
      <c r="V495" s="21"/>
    </row>
    <row r="496">
      <c r="U496" s="21"/>
      <c r="V496" s="21"/>
    </row>
    <row r="497">
      <c r="U497" s="21"/>
      <c r="V497" s="21"/>
    </row>
    <row r="498">
      <c r="U498" s="21"/>
      <c r="V498" s="21"/>
    </row>
    <row r="499">
      <c r="U499" s="21"/>
      <c r="V499" s="21"/>
    </row>
    <row r="500">
      <c r="U500" s="21"/>
      <c r="V500" s="21"/>
    </row>
    <row r="501">
      <c r="U501" s="21"/>
      <c r="V501" s="21"/>
    </row>
    <row r="502">
      <c r="U502" s="21"/>
      <c r="V502" s="21"/>
    </row>
    <row r="503">
      <c r="U503" s="21"/>
      <c r="V503" s="21"/>
    </row>
    <row r="504">
      <c r="U504" s="21"/>
      <c r="V504" s="21"/>
    </row>
    <row r="505">
      <c r="U505" s="21"/>
      <c r="V505" s="21"/>
    </row>
    <row r="506">
      <c r="U506" s="21"/>
      <c r="V506" s="21"/>
    </row>
    <row r="507">
      <c r="U507" s="21"/>
      <c r="V507" s="21"/>
    </row>
    <row r="508">
      <c r="U508" s="21"/>
      <c r="V508" s="21"/>
    </row>
    <row r="509">
      <c r="U509" s="21"/>
      <c r="V509" s="21"/>
    </row>
    <row r="510">
      <c r="U510" s="21"/>
      <c r="V510" s="21"/>
    </row>
    <row r="511">
      <c r="U511" s="21"/>
      <c r="V511" s="21"/>
    </row>
    <row r="512">
      <c r="U512" s="21"/>
      <c r="V512" s="21"/>
    </row>
    <row r="513">
      <c r="U513" s="21"/>
      <c r="V513" s="21"/>
    </row>
    <row r="514">
      <c r="U514" s="21"/>
      <c r="V514" s="21"/>
    </row>
    <row r="515">
      <c r="U515" s="21"/>
      <c r="V515" s="21"/>
    </row>
    <row r="516">
      <c r="U516" s="21"/>
      <c r="V516" s="21"/>
    </row>
    <row r="517">
      <c r="U517" s="21"/>
      <c r="V517" s="21"/>
    </row>
    <row r="518">
      <c r="U518" s="21"/>
      <c r="V518" s="21"/>
    </row>
    <row r="519">
      <c r="U519" s="21"/>
      <c r="V519" s="21"/>
    </row>
    <row r="520">
      <c r="U520" s="21"/>
      <c r="V520" s="21"/>
    </row>
    <row r="521">
      <c r="U521" s="21"/>
      <c r="V521" s="21"/>
    </row>
    <row r="522">
      <c r="U522" s="21"/>
      <c r="V522" s="21"/>
    </row>
    <row r="523">
      <c r="U523" s="21"/>
      <c r="V523" s="21"/>
    </row>
    <row r="524">
      <c r="U524" s="21"/>
      <c r="V524" s="21"/>
    </row>
    <row r="525">
      <c r="U525" s="21"/>
      <c r="V525" s="21"/>
    </row>
    <row r="526">
      <c r="U526" s="21"/>
      <c r="V526" s="21"/>
    </row>
    <row r="527">
      <c r="U527" s="21"/>
      <c r="V527" s="21"/>
    </row>
    <row r="528">
      <c r="U528" s="21"/>
      <c r="V528" s="21"/>
    </row>
    <row r="529">
      <c r="U529" s="21"/>
      <c r="V529" s="21"/>
    </row>
    <row r="530">
      <c r="U530" s="21"/>
      <c r="V530" s="21"/>
    </row>
    <row r="531">
      <c r="U531" s="21"/>
      <c r="V531" s="21"/>
    </row>
    <row r="532">
      <c r="U532" s="21"/>
      <c r="V532" s="21"/>
    </row>
    <row r="533">
      <c r="U533" s="21"/>
      <c r="V533" s="21"/>
    </row>
    <row r="534">
      <c r="U534" s="21"/>
      <c r="V534" s="21"/>
    </row>
    <row r="535">
      <c r="U535" s="21"/>
      <c r="V535" s="21"/>
    </row>
    <row r="536">
      <c r="U536" s="21"/>
      <c r="V536" s="21"/>
    </row>
    <row r="537">
      <c r="U537" s="21"/>
      <c r="V537" s="21"/>
    </row>
    <row r="538">
      <c r="U538" s="21"/>
      <c r="V538" s="21"/>
    </row>
    <row r="539">
      <c r="U539" s="21"/>
      <c r="V539" s="21"/>
    </row>
    <row r="540">
      <c r="U540" s="21"/>
      <c r="V540" s="21"/>
    </row>
    <row r="541">
      <c r="U541" s="21"/>
      <c r="V541" s="21"/>
    </row>
    <row r="542">
      <c r="U542" s="21"/>
      <c r="V542" s="21"/>
    </row>
    <row r="543">
      <c r="U543" s="21"/>
      <c r="V543" s="21"/>
    </row>
    <row r="544">
      <c r="U544" s="21"/>
      <c r="V544" s="21"/>
    </row>
    <row r="545">
      <c r="U545" s="21"/>
      <c r="V545" s="21"/>
    </row>
    <row r="546">
      <c r="U546" s="21"/>
      <c r="V546" s="21"/>
    </row>
    <row r="547">
      <c r="U547" s="21"/>
      <c r="V547" s="21"/>
    </row>
    <row r="548">
      <c r="U548" s="21"/>
      <c r="V548" s="21"/>
    </row>
    <row r="549">
      <c r="U549" s="21"/>
      <c r="V549" s="21"/>
    </row>
    <row r="550">
      <c r="U550" s="21"/>
      <c r="V550" s="21"/>
    </row>
    <row r="551">
      <c r="U551" s="21"/>
      <c r="V551" s="21"/>
    </row>
    <row r="552">
      <c r="U552" s="21"/>
      <c r="V552" s="21"/>
    </row>
    <row r="553">
      <c r="U553" s="21"/>
      <c r="V553" s="21"/>
    </row>
    <row r="554">
      <c r="U554" s="21"/>
      <c r="V554" s="21"/>
    </row>
    <row r="555">
      <c r="U555" s="21"/>
      <c r="V555" s="21"/>
    </row>
    <row r="556">
      <c r="U556" s="21"/>
      <c r="V556" s="21"/>
    </row>
    <row r="557">
      <c r="U557" s="21"/>
      <c r="V557" s="21"/>
    </row>
    <row r="558">
      <c r="U558" s="21"/>
      <c r="V558" s="21"/>
    </row>
    <row r="559">
      <c r="U559" s="21"/>
      <c r="V559" s="21"/>
    </row>
    <row r="560">
      <c r="U560" s="21"/>
      <c r="V560" s="21"/>
    </row>
    <row r="561">
      <c r="U561" s="21"/>
      <c r="V561" s="21"/>
    </row>
    <row r="562">
      <c r="U562" s="21"/>
      <c r="V562" s="21"/>
    </row>
    <row r="563">
      <c r="U563" s="21"/>
      <c r="V563" s="21"/>
    </row>
    <row r="564">
      <c r="U564" s="21"/>
      <c r="V564" s="21"/>
    </row>
    <row r="565">
      <c r="U565" s="21"/>
      <c r="V565" s="21"/>
    </row>
    <row r="566">
      <c r="U566" s="21"/>
      <c r="V566" s="21"/>
    </row>
    <row r="567">
      <c r="U567" s="21"/>
      <c r="V567" s="21"/>
    </row>
    <row r="568">
      <c r="U568" s="21"/>
      <c r="V568" s="21"/>
    </row>
    <row r="569">
      <c r="U569" s="21"/>
      <c r="V569" s="21"/>
    </row>
    <row r="570">
      <c r="U570" s="21"/>
      <c r="V570" s="21"/>
    </row>
    <row r="571">
      <c r="U571" s="21"/>
      <c r="V571" s="21"/>
    </row>
    <row r="572">
      <c r="U572" s="21"/>
      <c r="V572" s="21"/>
    </row>
    <row r="573">
      <c r="U573" s="21"/>
      <c r="V573" s="21"/>
    </row>
    <row r="574">
      <c r="U574" s="21"/>
      <c r="V574" s="21"/>
    </row>
    <row r="575">
      <c r="U575" s="21"/>
      <c r="V575" s="21"/>
    </row>
    <row r="576">
      <c r="U576" s="21"/>
      <c r="V576" s="21"/>
    </row>
    <row r="577">
      <c r="U577" s="21"/>
      <c r="V577" s="21"/>
    </row>
    <row r="578">
      <c r="U578" s="21"/>
      <c r="V578" s="21"/>
    </row>
    <row r="579">
      <c r="U579" s="21"/>
      <c r="V579" s="21"/>
    </row>
    <row r="580">
      <c r="U580" s="21"/>
      <c r="V580" s="21"/>
    </row>
    <row r="581">
      <c r="U581" s="21"/>
      <c r="V581" s="21"/>
    </row>
    <row r="582">
      <c r="U582" s="21"/>
      <c r="V582" s="21"/>
    </row>
    <row r="583">
      <c r="U583" s="21"/>
      <c r="V583" s="21"/>
    </row>
    <row r="584">
      <c r="U584" s="21"/>
      <c r="V584" s="21"/>
    </row>
    <row r="585">
      <c r="U585" s="21"/>
      <c r="V585" s="21"/>
    </row>
    <row r="586">
      <c r="U586" s="21"/>
      <c r="V586" s="21"/>
    </row>
    <row r="587">
      <c r="U587" s="21"/>
      <c r="V587" s="21"/>
    </row>
    <row r="588">
      <c r="U588" s="21"/>
      <c r="V588" s="21"/>
    </row>
    <row r="589">
      <c r="U589" s="21"/>
      <c r="V589" s="21"/>
    </row>
    <row r="590">
      <c r="U590" s="21"/>
      <c r="V590" s="21"/>
    </row>
    <row r="591">
      <c r="U591" s="21"/>
      <c r="V591" s="21"/>
    </row>
    <row r="592">
      <c r="U592" s="21"/>
      <c r="V592" s="21"/>
    </row>
    <row r="593">
      <c r="U593" s="21"/>
      <c r="V593" s="21"/>
    </row>
    <row r="594">
      <c r="U594" s="21"/>
      <c r="V594" s="21"/>
    </row>
    <row r="595">
      <c r="U595" s="21"/>
      <c r="V595" s="21"/>
    </row>
    <row r="596">
      <c r="U596" s="21"/>
      <c r="V596" s="21"/>
    </row>
    <row r="597">
      <c r="U597" s="21"/>
      <c r="V597" s="21"/>
    </row>
    <row r="598">
      <c r="U598" s="21"/>
      <c r="V598" s="21"/>
    </row>
    <row r="599">
      <c r="U599" s="21"/>
      <c r="V599" s="21"/>
    </row>
    <row r="600">
      <c r="U600" s="21"/>
      <c r="V600" s="21"/>
    </row>
    <row r="601">
      <c r="U601" s="21"/>
      <c r="V601" s="21"/>
    </row>
    <row r="602">
      <c r="U602" s="21"/>
      <c r="V602" s="21"/>
    </row>
    <row r="603">
      <c r="U603" s="21"/>
      <c r="V603" s="21"/>
    </row>
    <row r="604">
      <c r="U604" s="21"/>
      <c r="V604" s="21"/>
    </row>
    <row r="605">
      <c r="U605" s="21"/>
      <c r="V605" s="21"/>
    </row>
    <row r="606">
      <c r="U606" s="21"/>
      <c r="V606" s="21"/>
    </row>
    <row r="607">
      <c r="U607" s="21"/>
      <c r="V607" s="21"/>
    </row>
    <row r="608">
      <c r="U608" s="21"/>
      <c r="V608" s="21"/>
    </row>
    <row r="609">
      <c r="U609" s="21"/>
      <c r="V609" s="21"/>
    </row>
    <row r="610">
      <c r="U610" s="21"/>
      <c r="V610" s="21"/>
    </row>
    <row r="611">
      <c r="U611" s="21"/>
      <c r="V611" s="21"/>
    </row>
    <row r="612">
      <c r="U612" s="21"/>
      <c r="V612" s="21"/>
    </row>
    <row r="613">
      <c r="U613" s="21"/>
      <c r="V613" s="21"/>
    </row>
    <row r="614">
      <c r="U614" s="21"/>
      <c r="V614" s="21"/>
    </row>
    <row r="615">
      <c r="U615" s="21"/>
      <c r="V615" s="21"/>
    </row>
    <row r="616">
      <c r="U616" s="21"/>
      <c r="V616" s="21"/>
    </row>
    <row r="617">
      <c r="U617" s="21"/>
      <c r="V617" s="21"/>
    </row>
    <row r="618">
      <c r="U618" s="21"/>
      <c r="V618" s="21"/>
    </row>
    <row r="619">
      <c r="U619" s="21"/>
      <c r="V619" s="21"/>
    </row>
    <row r="620">
      <c r="U620" s="21"/>
      <c r="V620" s="21"/>
    </row>
    <row r="621">
      <c r="U621" s="21"/>
      <c r="V621" s="21"/>
    </row>
    <row r="622">
      <c r="U622" s="21"/>
      <c r="V622" s="21"/>
    </row>
    <row r="623">
      <c r="U623" s="21"/>
      <c r="V623" s="21"/>
    </row>
    <row r="624">
      <c r="U624" s="21"/>
      <c r="V624" s="21"/>
    </row>
    <row r="625">
      <c r="U625" s="21"/>
      <c r="V625" s="21"/>
    </row>
    <row r="626">
      <c r="U626" s="21"/>
      <c r="V626" s="21"/>
    </row>
    <row r="627">
      <c r="U627" s="21"/>
      <c r="V627" s="21"/>
    </row>
    <row r="628">
      <c r="U628" s="21"/>
      <c r="V628" s="21"/>
    </row>
    <row r="629">
      <c r="U629" s="21"/>
      <c r="V629" s="21"/>
    </row>
    <row r="630">
      <c r="U630" s="21"/>
      <c r="V630" s="21"/>
    </row>
    <row r="631">
      <c r="U631" s="21"/>
      <c r="V631" s="21"/>
    </row>
    <row r="632">
      <c r="U632" s="21"/>
      <c r="V632" s="21"/>
    </row>
    <row r="633">
      <c r="U633" s="21"/>
      <c r="V633" s="21"/>
    </row>
    <row r="634">
      <c r="U634" s="21"/>
      <c r="V634" s="21"/>
    </row>
    <row r="635">
      <c r="U635" s="21"/>
      <c r="V635" s="21"/>
    </row>
    <row r="636">
      <c r="U636" s="21"/>
      <c r="V636" s="21"/>
    </row>
    <row r="637">
      <c r="U637" s="21"/>
      <c r="V637" s="21"/>
    </row>
    <row r="638">
      <c r="U638" s="21"/>
      <c r="V638" s="21"/>
    </row>
    <row r="639">
      <c r="U639" s="21"/>
      <c r="V639" s="21"/>
    </row>
    <row r="640">
      <c r="U640" s="21"/>
      <c r="V640" s="21"/>
    </row>
    <row r="641">
      <c r="U641" s="21"/>
      <c r="V641" s="21"/>
    </row>
    <row r="642">
      <c r="U642" s="21"/>
      <c r="V642" s="21"/>
    </row>
    <row r="643">
      <c r="U643" s="21"/>
      <c r="V643" s="21"/>
    </row>
    <row r="644">
      <c r="U644" s="21"/>
      <c r="V644" s="21"/>
    </row>
    <row r="645">
      <c r="U645" s="21"/>
      <c r="V645" s="21"/>
    </row>
    <row r="646">
      <c r="U646" s="21"/>
      <c r="V646" s="21"/>
    </row>
    <row r="647">
      <c r="U647" s="21"/>
      <c r="V647" s="21"/>
    </row>
    <row r="648">
      <c r="U648" s="21"/>
      <c r="V648" s="21"/>
    </row>
    <row r="649">
      <c r="U649" s="21"/>
      <c r="V649" s="21"/>
    </row>
    <row r="650">
      <c r="U650" s="21"/>
      <c r="V650" s="21"/>
    </row>
    <row r="651">
      <c r="U651" s="21"/>
      <c r="V651" s="21"/>
    </row>
    <row r="652">
      <c r="U652" s="21"/>
      <c r="V652" s="21"/>
    </row>
    <row r="653">
      <c r="U653" s="21"/>
      <c r="V653" s="21"/>
    </row>
    <row r="654">
      <c r="U654" s="21"/>
      <c r="V654" s="21"/>
    </row>
    <row r="655">
      <c r="U655" s="21"/>
      <c r="V655" s="21"/>
    </row>
    <row r="656">
      <c r="U656" s="21"/>
      <c r="V656" s="21"/>
    </row>
    <row r="657">
      <c r="U657" s="21"/>
      <c r="V657" s="21"/>
    </row>
    <row r="658">
      <c r="U658" s="21"/>
      <c r="V658" s="21"/>
    </row>
    <row r="659">
      <c r="U659" s="21"/>
      <c r="V659" s="21"/>
    </row>
    <row r="660">
      <c r="U660" s="21"/>
      <c r="V660" s="21"/>
    </row>
    <row r="661">
      <c r="U661" s="21"/>
      <c r="V661" s="21"/>
    </row>
    <row r="662">
      <c r="U662" s="21"/>
      <c r="V662" s="21"/>
    </row>
    <row r="663">
      <c r="U663" s="21"/>
      <c r="V663" s="21"/>
    </row>
    <row r="664">
      <c r="U664" s="21"/>
      <c r="V664" s="21"/>
    </row>
    <row r="665">
      <c r="U665" s="21"/>
      <c r="V665" s="21"/>
    </row>
    <row r="666">
      <c r="U666" s="21"/>
      <c r="V666" s="21"/>
    </row>
    <row r="667">
      <c r="U667" s="21"/>
      <c r="V667" s="21"/>
    </row>
    <row r="668">
      <c r="U668" s="21"/>
      <c r="V668" s="21"/>
    </row>
    <row r="669">
      <c r="U669" s="21"/>
      <c r="V669" s="21"/>
    </row>
    <row r="670">
      <c r="U670" s="21"/>
      <c r="V670" s="21"/>
    </row>
    <row r="671">
      <c r="U671" s="21"/>
      <c r="V671" s="21"/>
    </row>
    <row r="672">
      <c r="U672" s="21"/>
      <c r="V672" s="21"/>
    </row>
    <row r="673">
      <c r="U673" s="21"/>
      <c r="V673" s="21"/>
    </row>
    <row r="674">
      <c r="U674" s="21"/>
      <c r="V674" s="21"/>
    </row>
    <row r="675">
      <c r="U675" s="21"/>
      <c r="V675" s="21"/>
    </row>
    <row r="676">
      <c r="U676" s="21"/>
      <c r="V676" s="21"/>
    </row>
    <row r="677">
      <c r="U677" s="21"/>
      <c r="V677" s="21"/>
    </row>
    <row r="678">
      <c r="U678" s="21"/>
      <c r="V678" s="21"/>
    </row>
    <row r="679">
      <c r="U679" s="21"/>
      <c r="V679" s="21"/>
    </row>
    <row r="680">
      <c r="U680" s="21"/>
      <c r="V680" s="21"/>
    </row>
    <row r="681">
      <c r="U681" s="21"/>
      <c r="V681" s="21"/>
    </row>
    <row r="682">
      <c r="U682" s="21"/>
      <c r="V682" s="21"/>
    </row>
    <row r="683">
      <c r="U683" s="21"/>
      <c r="V683" s="21"/>
    </row>
    <row r="684">
      <c r="U684" s="21"/>
      <c r="V684" s="21"/>
    </row>
    <row r="685">
      <c r="U685" s="21"/>
      <c r="V685" s="21"/>
    </row>
    <row r="686">
      <c r="U686" s="21"/>
      <c r="V686" s="21"/>
    </row>
    <row r="687">
      <c r="U687" s="21"/>
      <c r="V687" s="21"/>
    </row>
    <row r="688">
      <c r="U688" s="21"/>
      <c r="V688" s="21"/>
    </row>
    <row r="689">
      <c r="U689" s="21"/>
      <c r="V689" s="21"/>
    </row>
    <row r="690">
      <c r="U690" s="21"/>
      <c r="V690" s="21"/>
    </row>
    <row r="691">
      <c r="U691" s="21"/>
      <c r="V691" s="21"/>
    </row>
    <row r="692">
      <c r="U692" s="21"/>
      <c r="V692" s="21"/>
    </row>
    <row r="693">
      <c r="U693" s="21"/>
      <c r="V693" s="21"/>
    </row>
    <row r="694">
      <c r="U694" s="21"/>
      <c r="V694" s="21"/>
    </row>
    <row r="695">
      <c r="U695" s="21"/>
      <c r="V695" s="21"/>
    </row>
    <row r="696">
      <c r="U696" s="21"/>
      <c r="V696" s="21"/>
    </row>
    <row r="697">
      <c r="U697" s="21"/>
      <c r="V697" s="21"/>
    </row>
    <row r="698">
      <c r="U698" s="21"/>
      <c r="V698" s="21"/>
    </row>
    <row r="699">
      <c r="U699" s="21"/>
      <c r="V699" s="21"/>
    </row>
    <row r="700">
      <c r="U700" s="21"/>
      <c r="V700" s="21"/>
    </row>
    <row r="701">
      <c r="U701" s="21"/>
      <c r="V701" s="21"/>
    </row>
    <row r="702">
      <c r="U702" s="21"/>
      <c r="V702" s="21"/>
    </row>
    <row r="703">
      <c r="U703" s="21"/>
      <c r="V703" s="21"/>
    </row>
    <row r="704">
      <c r="U704" s="21"/>
      <c r="V704" s="21"/>
    </row>
    <row r="705">
      <c r="U705" s="21"/>
      <c r="V705" s="21"/>
    </row>
    <row r="706">
      <c r="U706" s="21"/>
      <c r="V706" s="21"/>
    </row>
    <row r="707">
      <c r="U707" s="21"/>
      <c r="V707" s="21"/>
    </row>
    <row r="708">
      <c r="U708" s="21"/>
      <c r="V708" s="21"/>
    </row>
    <row r="709">
      <c r="U709" s="21"/>
      <c r="V709" s="21"/>
    </row>
    <row r="710">
      <c r="U710" s="21"/>
      <c r="V710" s="21"/>
    </row>
    <row r="711">
      <c r="U711" s="21"/>
      <c r="V711" s="21"/>
    </row>
    <row r="712">
      <c r="U712" s="21"/>
      <c r="V712" s="21"/>
    </row>
    <row r="713">
      <c r="U713" s="21"/>
      <c r="V713" s="21"/>
    </row>
    <row r="714">
      <c r="U714" s="21"/>
      <c r="V714" s="21"/>
    </row>
    <row r="715">
      <c r="U715" s="21"/>
      <c r="V715" s="21"/>
    </row>
    <row r="716">
      <c r="U716" s="21"/>
      <c r="V716" s="21"/>
    </row>
    <row r="717">
      <c r="U717" s="21"/>
      <c r="V717" s="21"/>
    </row>
    <row r="718">
      <c r="U718" s="21"/>
      <c r="V718" s="21"/>
    </row>
    <row r="719">
      <c r="U719" s="21"/>
      <c r="V719" s="21"/>
    </row>
    <row r="720">
      <c r="U720" s="21"/>
      <c r="V720" s="21"/>
    </row>
    <row r="721">
      <c r="U721" s="21"/>
      <c r="V721" s="21"/>
    </row>
    <row r="722">
      <c r="U722" s="21"/>
      <c r="V722" s="21"/>
    </row>
    <row r="723">
      <c r="U723" s="21"/>
      <c r="V723" s="21"/>
    </row>
    <row r="724">
      <c r="U724" s="21"/>
      <c r="V724" s="21"/>
    </row>
    <row r="725">
      <c r="U725" s="21"/>
      <c r="V725" s="21"/>
    </row>
    <row r="726">
      <c r="U726" s="21"/>
      <c r="V726" s="21"/>
    </row>
    <row r="727">
      <c r="U727" s="21"/>
      <c r="V727" s="21"/>
    </row>
    <row r="728">
      <c r="U728" s="21"/>
      <c r="V728" s="21"/>
    </row>
    <row r="729">
      <c r="U729" s="21"/>
      <c r="V729" s="21"/>
    </row>
    <row r="730">
      <c r="U730" s="21"/>
      <c r="V730" s="21"/>
    </row>
    <row r="731">
      <c r="U731" s="21"/>
      <c r="V731" s="21"/>
    </row>
    <row r="732">
      <c r="U732" s="21"/>
      <c r="V732" s="21"/>
    </row>
    <row r="733">
      <c r="U733" s="21"/>
      <c r="V733" s="21"/>
    </row>
    <row r="734">
      <c r="U734" s="21"/>
      <c r="V734" s="21"/>
    </row>
    <row r="735">
      <c r="U735" s="21"/>
      <c r="V735" s="21"/>
    </row>
    <row r="736">
      <c r="U736" s="21"/>
      <c r="V736" s="21"/>
    </row>
    <row r="737">
      <c r="U737" s="21"/>
      <c r="V737" s="21"/>
    </row>
    <row r="738">
      <c r="U738" s="21"/>
      <c r="V738" s="21"/>
    </row>
    <row r="739">
      <c r="U739" s="21"/>
      <c r="V739" s="21"/>
    </row>
    <row r="740">
      <c r="U740" s="21"/>
      <c r="V740" s="21"/>
    </row>
    <row r="741">
      <c r="U741" s="21"/>
      <c r="V741" s="21"/>
    </row>
    <row r="742">
      <c r="U742" s="21"/>
      <c r="V742" s="21"/>
    </row>
    <row r="743">
      <c r="U743" s="21"/>
      <c r="V743" s="21"/>
    </row>
    <row r="744">
      <c r="U744" s="21"/>
      <c r="V744" s="21"/>
    </row>
    <row r="745">
      <c r="U745" s="21"/>
      <c r="V745" s="21"/>
    </row>
    <row r="746">
      <c r="U746" s="21"/>
      <c r="V746" s="21"/>
    </row>
    <row r="747">
      <c r="U747" s="21"/>
      <c r="V747" s="21"/>
    </row>
    <row r="748">
      <c r="U748" s="21"/>
      <c r="V748" s="21"/>
    </row>
    <row r="749">
      <c r="U749" s="21"/>
      <c r="V749" s="21"/>
    </row>
    <row r="750">
      <c r="U750" s="21"/>
      <c r="V750" s="21"/>
    </row>
    <row r="751">
      <c r="U751" s="21"/>
      <c r="V751" s="21"/>
    </row>
    <row r="752">
      <c r="U752" s="21"/>
      <c r="V752" s="21"/>
    </row>
    <row r="753">
      <c r="U753" s="21"/>
      <c r="V753" s="21"/>
    </row>
    <row r="754">
      <c r="U754" s="21"/>
      <c r="V754" s="21"/>
    </row>
    <row r="755">
      <c r="U755" s="21"/>
      <c r="V755" s="21"/>
    </row>
    <row r="756">
      <c r="U756" s="21"/>
      <c r="V756" s="21"/>
    </row>
    <row r="757">
      <c r="U757" s="21"/>
      <c r="V757" s="21"/>
    </row>
    <row r="758">
      <c r="U758" s="21"/>
      <c r="V758" s="21"/>
    </row>
    <row r="759">
      <c r="U759" s="21"/>
      <c r="V759" s="21"/>
    </row>
    <row r="760">
      <c r="U760" s="21"/>
      <c r="V760" s="21"/>
    </row>
    <row r="761">
      <c r="U761" s="21"/>
      <c r="V761" s="21"/>
    </row>
    <row r="762">
      <c r="U762" s="21"/>
      <c r="V762" s="21"/>
    </row>
    <row r="763">
      <c r="U763" s="21"/>
      <c r="V763" s="21"/>
    </row>
    <row r="764">
      <c r="U764" s="21"/>
      <c r="V764" s="21"/>
    </row>
    <row r="765">
      <c r="U765" s="21"/>
      <c r="V765" s="21"/>
    </row>
    <row r="766">
      <c r="U766" s="21"/>
      <c r="V766" s="21"/>
    </row>
    <row r="767">
      <c r="U767" s="21"/>
      <c r="V767" s="21"/>
    </row>
    <row r="768">
      <c r="U768" s="21"/>
      <c r="V768" s="21"/>
    </row>
    <row r="769">
      <c r="U769" s="21"/>
      <c r="V769" s="21"/>
    </row>
    <row r="770">
      <c r="U770" s="21"/>
      <c r="V770" s="21"/>
    </row>
    <row r="771">
      <c r="U771" s="21"/>
      <c r="V771" s="21"/>
    </row>
    <row r="772">
      <c r="U772" s="21"/>
      <c r="V772" s="21"/>
    </row>
    <row r="773">
      <c r="U773" s="21"/>
      <c r="V773" s="21"/>
    </row>
    <row r="774">
      <c r="U774" s="21"/>
      <c r="V774" s="21"/>
    </row>
    <row r="775">
      <c r="U775" s="21"/>
      <c r="V775" s="21"/>
    </row>
    <row r="776">
      <c r="U776" s="21"/>
      <c r="V776" s="21"/>
    </row>
    <row r="777">
      <c r="U777" s="21"/>
      <c r="V777" s="21"/>
    </row>
    <row r="778">
      <c r="U778" s="21"/>
      <c r="V778" s="21"/>
    </row>
    <row r="779">
      <c r="U779" s="21"/>
      <c r="V779" s="21"/>
    </row>
    <row r="780">
      <c r="U780" s="21"/>
      <c r="V780" s="21"/>
    </row>
    <row r="781">
      <c r="U781" s="21"/>
      <c r="V781" s="21"/>
    </row>
    <row r="782">
      <c r="U782" s="21"/>
      <c r="V782" s="21"/>
    </row>
    <row r="783">
      <c r="U783" s="21"/>
      <c r="V783" s="21"/>
    </row>
    <row r="784">
      <c r="U784" s="21"/>
      <c r="V784" s="21"/>
    </row>
    <row r="785">
      <c r="U785" s="21"/>
      <c r="V785" s="21"/>
    </row>
    <row r="786">
      <c r="U786" s="21"/>
      <c r="V786" s="21"/>
    </row>
    <row r="787">
      <c r="U787" s="21"/>
      <c r="V787" s="21"/>
    </row>
    <row r="788">
      <c r="U788" s="21"/>
      <c r="V788" s="21"/>
    </row>
    <row r="789">
      <c r="U789" s="21"/>
      <c r="V789" s="21"/>
    </row>
    <row r="790">
      <c r="U790" s="21"/>
      <c r="V790" s="21"/>
    </row>
    <row r="791">
      <c r="U791" s="21"/>
      <c r="V791" s="21"/>
    </row>
    <row r="792">
      <c r="U792" s="21"/>
      <c r="V792" s="21"/>
    </row>
    <row r="793">
      <c r="U793" s="21"/>
      <c r="V793" s="21"/>
    </row>
    <row r="794">
      <c r="U794" s="21"/>
      <c r="V794" s="21"/>
    </row>
    <row r="795">
      <c r="U795" s="21"/>
      <c r="V795" s="21"/>
    </row>
    <row r="796">
      <c r="U796" s="21"/>
      <c r="V796" s="21"/>
    </row>
    <row r="797">
      <c r="U797" s="21"/>
      <c r="V797" s="21"/>
    </row>
    <row r="798">
      <c r="U798" s="21"/>
      <c r="V798" s="21"/>
    </row>
    <row r="799">
      <c r="U799" s="21"/>
      <c r="V799" s="21"/>
    </row>
    <row r="800">
      <c r="U800" s="21"/>
      <c r="V800" s="21"/>
    </row>
    <row r="801">
      <c r="U801" s="21"/>
      <c r="V801" s="21"/>
    </row>
    <row r="802">
      <c r="U802" s="21"/>
      <c r="V802" s="21"/>
    </row>
    <row r="803">
      <c r="U803" s="21"/>
      <c r="V803" s="21"/>
    </row>
    <row r="804">
      <c r="U804" s="21"/>
      <c r="V804" s="21"/>
    </row>
    <row r="805">
      <c r="U805" s="21"/>
      <c r="V805" s="21"/>
    </row>
    <row r="806">
      <c r="U806" s="21"/>
      <c r="V806" s="21"/>
    </row>
    <row r="807">
      <c r="U807" s="21"/>
      <c r="V807" s="21"/>
    </row>
    <row r="808">
      <c r="U808" s="21"/>
      <c r="V808" s="21"/>
    </row>
    <row r="809">
      <c r="U809" s="21"/>
      <c r="V809" s="21"/>
    </row>
    <row r="810">
      <c r="U810" s="21"/>
      <c r="V810" s="21"/>
    </row>
    <row r="811">
      <c r="U811" s="21"/>
      <c r="V811" s="21"/>
    </row>
    <row r="812">
      <c r="U812" s="21"/>
      <c r="V812" s="21"/>
    </row>
    <row r="813">
      <c r="U813" s="21"/>
      <c r="V813" s="21"/>
    </row>
    <row r="814">
      <c r="U814" s="21"/>
      <c r="V814" s="21"/>
    </row>
    <row r="815">
      <c r="U815" s="21"/>
      <c r="V815" s="21"/>
    </row>
    <row r="816">
      <c r="U816" s="21"/>
      <c r="V816" s="21"/>
    </row>
    <row r="817">
      <c r="U817" s="21"/>
      <c r="V817" s="21"/>
    </row>
    <row r="818">
      <c r="U818" s="21"/>
      <c r="V818" s="21"/>
    </row>
    <row r="819">
      <c r="U819" s="21"/>
      <c r="V819" s="21"/>
    </row>
    <row r="820">
      <c r="U820" s="21"/>
      <c r="V820" s="21"/>
    </row>
    <row r="821">
      <c r="U821" s="21"/>
      <c r="V821" s="21"/>
    </row>
    <row r="822">
      <c r="U822" s="21"/>
      <c r="V822" s="21"/>
    </row>
    <row r="823">
      <c r="U823" s="21"/>
      <c r="V823" s="21"/>
    </row>
    <row r="824">
      <c r="U824" s="21"/>
      <c r="V824" s="21"/>
    </row>
    <row r="825">
      <c r="U825" s="21"/>
      <c r="V825" s="21"/>
    </row>
    <row r="826">
      <c r="U826" s="21"/>
      <c r="V826" s="21"/>
    </row>
    <row r="827">
      <c r="U827" s="21"/>
      <c r="V827" s="21"/>
    </row>
    <row r="828">
      <c r="U828" s="21"/>
      <c r="V828" s="21"/>
    </row>
    <row r="829">
      <c r="U829" s="21"/>
      <c r="V829" s="21"/>
    </row>
    <row r="830">
      <c r="U830" s="21"/>
      <c r="V830" s="21"/>
    </row>
    <row r="831">
      <c r="U831" s="21"/>
      <c r="V831" s="21"/>
    </row>
    <row r="832">
      <c r="U832" s="21"/>
      <c r="V832" s="21"/>
    </row>
    <row r="833">
      <c r="U833" s="21"/>
      <c r="V833" s="21"/>
    </row>
    <row r="834">
      <c r="U834" s="21"/>
      <c r="V834" s="21"/>
    </row>
    <row r="835">
      <c r="U835" s="21"/>
      <c r="V835" s="21"/>
    </row>
    <row r="836">
      <c r="U836" s="21"/>
      <c r="V836" s="21"/>
    </row>
    <row r="837">
      <c r="U837" s="21"/>
      <c r="V837" s="21"/>
    </row>
    <row r="838">
      <c r="U838" s="21"/>
      <c r="V838" s="21"/>
    </row>
    <row r="839">
      <c r="U839" s="21"/>
      <c r="V839" s="21"/>
    </row>
    <row r="840">
      <c r="U840" s="21"/>
      <c r="V840" s="21"/>
    </row>
    <row r="841">
      <c r="U841" s="21"/>
      <c r="V841" s="21"/>
    </row>
    <row r="842">
      <c r="U842" s="21"/>
      <c r="V842" s="21"/>
    </row>
    <row r="843">
      <c r="U843" s="21"/>
      <c r="V843" s="21"/>
    </row>
    <row r="844">
      <c r="U844" s="21"/>
      <c r="V844" s="21"/>
    </row>
    <row r="845">
      <c r="U845" s="21"/>
      <c r="V845" s="21"/>
    </row>
    <row r="846">
      <c r="U846" s="21"/>
      <c r="V846" s="21"/>
    </row>
    <row r="847">
      <c r="U847" s="21"/>
      <c r="V847" s="21"/>
    </row>
    <row r="848">
      <c r="U848" s="21"/>
      <c r="V848" s="21"/>
    </row>
    <row r="849">
      <c r="U849" s="21"/>
      <c r="V849" s="21"/>
    </row>
    <row r="850">
      <c r="U850" s="21"/>
      <c r="V850" s="21"/>
    </row>
    <row r="851">
      <c r="U851" s="21"/>
      <c r="V851" s="21"/>
    </row>
    <row r="852">
      <c r="U852" s="21"/>
      <c r="V852" s="21"/>
    </row>
    <row r="853">
      <c r="U853" s="21"/>
      <c r="V853" s="21"/>
    </row>
    <row r="854">
      <c r="U854" s="21"/>
      <c r="V854" s="21"/>
    </row>
    <row r="855">
      <c r="U855" s="21"/>
      <c r="V855" s="21"/>
    </row>
    <row r="856">
      <c r="U856" s="21"/>
      <c r="V856" s="21"/>
    </row>
    <row r="857">
      <c r="U857" s="21"/>
      <c r="V857" s="21"/>
    </row>
    <row r="858">
      <c r="U858" s="21"/>
      <c r="V858" s="21"/>
    </row>
    <row r="859">
      <c r="U859" s="21"/>
      <c r="V859" s="21"/>
    </row>
    <row r="860">
      <c r="U860" s="21"/>
      <c r="V860" s="21"/>
    </row>
    <row r="861">
      <c r="U861" s="21"/>
      <c r="V861" s="21"/>
    </row>
    <row r="862">
      <c r="U862" s="21"/>
      <c r="V862" s="21"/>
    </row>
    <row r="863">
      <c r="U863" s="21"/>
      <c r="V863" s="21"/>
    </row>
    <row r="864">
      <c r="U864" s="21"/>
      <c r="V864" s="21"/>
    </row>
    <row r="865">
      <c r="U865" s="21"/>
      <c r="V865" s="21"/>
    </row>
    <row r="866">
      <c r="U866" s="21"/>
      <c r="V866" s="21"/>
    </row>
    <row r="867">
      <c r="U867" s="21"/>
      <c r="V867" s="21"/>
    </row>
    <row r="868">
      <c r="U868" s="21"/>
      <c r="V868" s="21"/>
    </row>
    <row r="869">
      <c r="U869" s="21"/>
      <c r="V869" s="21"/>
    </row>
    <row r="870">
      <c r="U870" s="21"/>
      <c r="V870" s="21"/>
    </row>
    <row r="871">
      <c r="U871" s="21"/>
      <c r="V871" s="21"/>
    </row>
    <row r="872">
      <c r="U872" s="21"/>
      <c r="V872" s="21"/>
    </row>
    <row r="873">
      <c r="U873" s="21"/>
      <c r="V873" s="21"/>
    </row>
    <row r="874">
      <c r="U874" s="21"/>
      <c r="V874" s="21"/>
    </row>
    <row r="875">
      <c r="U875" s="21"/>
      <c r="V875" s="21"/>
    </row>
    <row r="876">
      <c r="U876" s="21"/>
      <c r="V876" s="21"/>
    </row>
    <row r="877">
      <c r="U877" s="21"/>
      <c r="V877" s="21"/>
    </row>
    <row r="878">
      <c r="U878" s="21"/>
      <c r="V878" s="21"/>
    </row>
    <row r="879">
      <c r="U879" s="21"/>
      <c r="V879" s="21"/>
    </row>
    <row r="880">
      <c r="U880" s="21"/>
      <c r="V880" s="21"/>
    </row>
    <row r="881">
      <c r="U881" s="21"/>
      <c r="V881" s="21"/>
    </row>
    <row r="882">
      <c r="U882" s="21"/>
      <c r="V882" s="21"/>
    </row>
    <row r="883">
      <c r="U883" s="21"/>
      <c r="V883" s="21"/>
    </row>
    <row r="884">
      <c r="U884" s="21"/>
      <c r="V884" s="21"/>
    </row>
    <row r="885">
      <c r="U885" s="21"/>
      <c r="V885" s="21"/>
    </row>
    <row r="886">
      <c r="U886" s="21"/>
      <c r="V886" s="21"/>
    </row>
    <row r="887">
      <c r="U887" s="21"/>
      <c r="V887" s="21"/>
    </row>
    <row r="888">
      <c r="U888" s="21"/>
      <c r="V888" s="21"/>
    </row>
    <row r="889">
      <c r="U889" s="21"/>
      <c r="V889" s="21"/>
    </row>
    <row r="890">
      <c r="U890" s="21"/>
      <c r="V890" s="21"/>
    </row>
    <row r="891">
      <c r="U891" s="21"/>
      <c r="V891" s="21"/>
    </row>
    <row r="892">
      <c r="U892" s="21"/>
      <c r="V892" s="21"/>
    </row>
    <row r="893">
      <c r="U893" s="21"/>
      <c r="V893" s="21"/>
    </row>
    <row r="894">
      <c r="U894" s="21"/>
      <c r="V894" s="21"/>
    </row>
    <row r="895">
      <c r="U895" s="21"/>
      <c r="V895" s="21"/>
    </row>
    <row r="896">
      <c r="U896" s="21"/>
      <c r="V896" s="21"/>
    </row>
    <row r="897">
      <c r="U897" s="21"/>
      <c r="V897" s="21"/>
    </row>
    <row r="898">
      <c r="U898" s="21"/>
      <c r="V898" s="21"/>
    </row>
    <row r="899">
      <c r="U899" s="21"/>
      <c r="V899" s="21"/>
    </row>
    <row r="900">
      <c r="U900" s="21"/>
      <c r="V900" s="21"/>
    </row>
    <row r="901">
      <c r="U901" s="21"/>
      <c r="V901" s="21"/>
    </row>
    <row r="902">
      <c r="U902" s="21"/>
      <c r="V902" s="21"/>
    </row>
    <row r="903">
      <c r="U903" s="21"/>
      <c r="V903" s="21"/>
    </row>
    <row r="904">
      <c r="U904" s="21"/>
      <c r="V904" s="21"/>
    </row>
    <row r="905">
      <c r="U905" s="21"/>
      <c r="V905" s="21"/>
    </row>
    <row r="906">
      <c r="U906" s="21"/>
      <c r="V906" s="21"/>
    </row>
    <row r="907">
      <c r="U907" s="21"/>
      <c r="V907" s="21"/>
    </row>
    <row r="908">
      <c r="U908" s="21"/>
      <c r="V908" s="21"/>
    </row>
    <row r="909">
      <c r="U909" s="21"/>
      <c r="V909" s="21"/>
    </row>
    <row r="910">
      <c r="U910" s="21"/>
      <c r="V910" s="21"/>
    </row>
    <row r="911">
      <c r="U911" s="21"/>
      <c r="V911" s="21"/>
    </row>
    <row r="912">
      <c r="U912" s="21"/>
      <c r="V912" s="21"/>
    </row>
    <row r="913">
      <c r="U913" s="21"/>
      <c r="V913" s="21"/>
    </row>
    <row r="914">
      <c r="U914" s="21"/>
      <c r="V914" s="21"/>
    </row>
    <row r="915">
      <c r="U915" s="21"/>
      <c r="V915" s="21"/>
    </row>
    <row r="916">
      <c r="U916" s="21"/>
      <c r="V916" s="21"/>
    </row>
    <row r="917">
      <c r="U917" s="21"/>
      <c r="V917" s="21"/>
    </row>
    <row r="918">
      <c r="U918" s="21"/>
      <c r="V918" s="21"/>
    </row>
    <row r="919">
      <c r="U919" s="21"/>
      <c r="V919" s="21"/>
    </row>
    <row r="920">
      <c r="U920" s="21"/>
      <c r="V920" s="21"/>
    </row>
    <row r="921">
      <c r="U921" s="21"/>
      <c r="V921" s="21"/>
    </row>
    <row r="922">
      <c r="U922" s="21"/>
      <c r="V922" s="21"/>
    </row>
    <row r="923">
      <c r="U923" s="21"/>
      <c r="V923" s="21"/>
    </row>
    <row r="924">
      <c r="U924" s="21"/>
      <c r="V924" s="21"/>
    </row>
    <row r="925">
      <c r="U925" s="21"/>
      <c r="V925" s="21"/>
    </row>
    <row r="926">
      <c r="U926" s="21"/>
      <c r="V926" s="21"/>
    </row>
    <row r="927">
      <c r="U927" s="21"/>
      <c r="V927" s="21"/>
    </row>
    <row r="928">
      <c r="U928" s="21"/>
      <c r="V928" s="21"/>
    </row>
    <row r="929">
      <c r="U929" s="21"/>
      <c r="V929" s="21"/>
    </row>
    <row r="930">
      <c r="U930" s="21"/>
      <c r="V930" s="21"/>
    </row>
    <row r="931">
      <c r="U931" s="21"/>
      <c r="V931" s="21"/>
    </row>
    <row r="932">
      <c r="U932" s="21"/>
      <c r="V932" s="21"/>
    </row>
    <row r="933">
      <c r="U933" s="21"/>
      <c r="V933" s="21"/>
    </row>
    <row r="934">
      <c r="U934" s="21"/>
      <c r="V934" s="21"/>
    </row>
    <row r="935">
      <c r="U935" s="21"/>
      <c r="V935" s="21"/>
    </row>
    <row r="936">
      <c r="U936" s="21"/>
      <c r="V936" s="21"/>
    </row>
    <row r="937">
      <c r="U937" s="21"/>
      <c r="V937" s="21"/>
    </row>
    <row r="938">
      <c r="U938" s="21"/>
      <c r="V938" s="21"/>
    </row>
    <row r="939">
      <c r="U939" s="21"/>
      <c r="V939" s="21"/>
    </row>
    <row r="940">
      <c r="U940" s="21"/>
      <c r="V940" s="21"/>
    </row>
    <row r="941">
      <c r="U941" s="21"/>
      <c r="V941" s="21"/>
    </row>
    <row r="942">
      <c r="U942" s="21"/>
      <c r="V942" s="21"/>
    </row>
    <row r="943">
      <c r="U943" s="21"/>
      <c r="V943" s="21"/>
    </row>
    <row r="944">
      <c r="U944" s="21"/>
      <c r="V944" s="21"/>
    </row>
    <row r="945">
      <c r="U945" s="21"/>
      <c r="V945" s="21"/>
    </row>
    <row r="946">
      <c r="U946" s="21"/>
      <c r="V946" s="21"/>
    </row>
    <row r="947">
      <c r="U947" s="21"/>
      <c r="V947" s="21"/>
    </row>
    <row r="948">
      <c r="U948" s="21"/>
      <c r="V948" s="21"/>
    </row>
    <row r="949">
      <c r="U949" s="21"/>
      <c r="V949" s="21"/>
    </row>
    <row r="950">
      <c r="U950" s="21"/>
      <c r="V950" s="21"/>
    </row>
    <row r="951">
      <c r="U951" s="21"/>
      <c r="V951" s="21"/>
    </row>
    <row r="952">
      <c r="U952" s="21"/>
      <c r="V952" s="21"/>
    </row>
    <row r="953">
      <c r="U953" s="21"/>
      <c r="V953" s="21"/>
    </row>
    <row r="954">
      <c r="U954" s="21"/>
      <c r="V954" s="21"/>
    </row>
    <row r="955">
      <c r="U955" s="21"/>
      <c r="V955" s="21"/>
    </row>
    <row r="956">
      <c r="U956" s="21"/>
      <c r="V956" s="21"/>
    </row>
    <row r="957">
      <c r="U957" s="21"/>
      <c r="V957" s="21"/>
    </row>
    <row r="958">
      <c r="U958" s="21"/>
      <c r="V958" s="21"/>
    </row>
    <row r="959">
      <c r="U959" s="21"/>
      <c r="V959" s="21"/>
    </row>
    <row r="960">
      <c r="U960" s="21"/>
      <c r="V960" s="21"/>
    </row>
    <row r="961">
      <c r="U961" s="21"/>
      <c r="V961" s="21"/>
    </row>
    <row r="962">
      <c r="U962" s="21"/>
      <c r="V962" s="21"/>
    </row>
    <row r="963">
      <c r="U963" s="21"/>
      <c r="V963" s="21"/>
    </row>
    <row r="964">
      <c r="U964" s="21"/>
      <c r="V964" s="21"/>
    </row>
    <row r="965">
      <c r="U965" s="21"/>
      <c r="V965" s="21"/>
    </row>
    <row r="966">
      <c r="U966" s="21"/>
      <c r="V966" s="21"/>
    </row>
    <row r="967">
      <c r="U967" s="21"/>
      <c r="V967" s="21"/>
    </row>
    <row r="968">
      <c r="U968" s="21"/>
      <c r="V968" s="21"/>
    </row>
    <row r="969">
      <c r="U969" s="21"/>
      <c r="V969" s="21"/>
    </row>
    <row r="970">
      <c r="U970" s="21"/>
      <c r="V970" s="21"/>
    </row>
    <row r="971">
      <c r="U971" s="21"/>
      <c r="V971" s="21"/>
    </row>
    <row r="972">
      <c r="U972" s="21"/>
      <c r="V972" s="21"/>
    </row>
    <row r="973">
      <c r="U973" s="21"/>
      <c r="V973" s="21"/>
    </row>
    <row r="974">
      <c r="U974" s="21"/>
      <c r="V974" s="21"/>
    </row>
    <row r="975">
      <c r="U975" s="21"/>
      <c r="V975" s="21"/>
    </row>
    <row r="976">
      <c r="U976" s="21"/>
      <c r="V976" s="21"/>
    </row>
    <row r="977">
      <c r="U977" s="21"/>
      <c r="V977" s="21"/>
    </row>
    <row r="978">
      <c r="U978" s="21"/>
      <c r="V978" s="21"/>
    </row>
    <row r="979">
      <c r="U979" s="21"/>
      <c r="V979" s="21"/>
    </row>
    <row r="980">
      <c r="U980" s="21"/>
      <c r="V980" s="21"/>
    </row>
    <row r="981">
      <c r="U981" s="21"/>
      <c r="V981" s="21"/>
    </row>
    <row r="982">
      <c r="U982" s="21"/>
      <c r="V982" s="21"/>
    </row>
    <row r="983">
      <c r="U983" s="21"/>
      <c r="V983" s="21"/>
    </row>
    <row r="984">
      <c r="U984" s="21"/>
      <c r="V984" s="21"/>
    </row>
    <row r="985">
      <c r="U985" s="21"/>
      <c r="V985" s="21"/>
    </row>
    <row r="986">
      <c r="U986" s="21"/>
      <c r="V986" s="21"/>
    </row>
    <row r="987">
      <c r="U987" s="21"/>
      <c r="V987" s="21"/>
    </row>
    <row r="988">
      <c r="U988" s="21"/>
      <c r="V988" s="21"/>
    </row>
    <row r="989">
      <c r="U989" s="21"/>
      <c r="V989" s="21"/>
    </row>
    <row r="990">
      <c r="U990" s="21"/>
      <c r="V990" s="21"/>
    </row>
    <row r="991">
      <c r="U991" s="21"/>
      <c r="V991" s="21"/>
    </row>
    <row r="992">
      <c r="U992" s="21"/>
      <c r="V992" s="21"/>
    </row>
    <row r="993">
      <c r="U993" s="21"/>
      <c r="V993" s="21"/>
    </row>
    <row r="994">
      <c r="U994" s="21"/>
      <c r="V994" s="21"/>
    </row>
    <row r="995">
      <c r="U995" s="21"/>
      <c r="V995" s="21"/>
    </row>
    <row r="996">
      <c r="U996" s="21"/>
      <c r="V996" s="21"/>
    </row>
    <row r="997">
      <c r="U997" s="21"/>
      <c r="V997" s="21"/>
    </row>
    <row r="998">
      <c r="U998" s="21"/>
      <c r="V998" s="21"/>
    </row>
    <row r="999">
      <c r="U999" s="21"/>
      <c r="V999" s="21"/>
    </row>
    <row r="1000">
      <c r="U1000" s="21"/>
      <c r="V1000" s="21"/>
    </row>
  </sheetData>
  <autoFilter ref="$T$25:$X$45"/>
  <conditionalFormatting sqref="V26:X47">
    <cfRule type="cellIs" dxfId="3" priority="1" operator="equal">
      <formula>"Bloquant"</formula>
    </cfRule>
  </conditionalFormatting>
  <conditionalFormatting sqref="V26:X47">
    <cfRule type="cellIs" dxfId="4" priority="2" operator="equal">
      <formula>"Majeur"</formula>
    </cfRule>
  </conditionalFormatting>
  <conditionalFormatting sqref="V26:X47">
    <cfRule type="cellIs" dxfId="5" priority="3" operator="equal">
      <formula>"Mineur"</formula>
    </cfRule>
  </conditionalFormatting>
  <conditionalFormatting sqref="U26:U47">
    <cfRule type="cellIs" dxfId="0" priority="4" operator="equal">
      <formula>"P1"</formula>
    </cfRule>
  </conditionalFormatting>
  <conditionalFormatting sqref="U26:U47">
    <cfRule type="cellIs" dxfId="1" priority="5" operator="equal">
      <formula>"P2"</formula>
    </cfRule>
  </conditionalFormatting>
  <conditionalFormatting sqref="U26:U47">
    <cfRule type="cellIs" dxfId="2" priority="6" operator="equal">
      <formula>"P3"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6" max="16" width="8.86"/>
    <col customWidth="1" min="17" max="17" width="12.43"/>
    <col customWidth="1" min="18" max="18" width="12.14"/>
    <col customWidth="1" min="19" max="19" width="67.0"/>
    <col customWidth="1" min="20" max="20" width="30.86"/>
  </cols>
  <sheetData>
    <row r="1">
      <c r="Q1" s="21"/>
      <c r="R1" s="21"/>
    </row>
    <row r="2">
      <c r="Q2" s="21"/>
      <c r="R2" s="21"/>
    </row>
    <row r="3">
      <c r="Q3" s="21"/>
      <c r="R3" s="21"/>
    </row>
    <row r="4">
      <c r="Q4" s="21"/>
      <c r="R4" s="21"/>
    </row>
    <row r="5">
      <c r="Q5" s="21"/>
      <c r="R5" s="21"/>
    </row>
    <row r="6">
      <c r="Q6" s="21"/>
      <c r="R6" s="21"/>
    </row>
    <row r="7">
      <c r="Q7" s="21"/>
      <c r="R7" s="21"/>
    </row>
    <row r="8">
      <c r="Q8" s="21"/>
      <c r="R8" s="21"/>
    </row>
    <row r="9">
      <c r="Q9" s="21"/>
      <c r="R9" s="21"/>
    </row>
    <row r="10">
      <c r="Q10" s="21"/>
      <c r="R10" s="21"/>
    </row>
    <row r="11">
      <c r="Q11" s="21"/>
      <c r="R11" s="21"/>
    </row>
    <row r="12">
      <c r="Q12" s="21"/>
      <c r="R12" s="21"/>
    </row>
    <row r="13">
      <c r="Q13" s="21"/>
      <c r="R13" s="21"/>
    </row>
    <row r="14">
      <c r="Q14" s="21"/>
      <c r="R14" s="21"/>
    </row>
    <row r="15">
      <c r="Q15" s="21"/>
      <c r="R15" s="21"/>
    </row>
    <row r="16">
      <c r="Q16" s="21"/>
      <c r="R16" s="21"/>
    </row>
    <row r="17">
      <c r="Q17" s="21"/>
      <c r="R17" s="21"/>
    </row>
    <row r="18">
      <c r="Q18" s="21"/>
      <c r="R18" s="21"/>
    </row>
    <row r="19">
      <c r="Q19" s="21"/>
      <c r="R19" s="21"/>
    </row>
    <row r="20">
      <c r="Q20" s="21"/>
      <c r="R20" s="21"/>
    </row>
    <row r="21">
      <c r="Q21" s="21"/>
      <c r="R21" s="21"/>
    </row>
    <row r="22">
      <c r="Q22" s="21"/>
      <c r="R22" s="21"/>
    </row>
    <row r="23">
      <c r="Q23" s="21"/>
      <c r="R23" s="21"/>
    </row>
    <row r="24">
      <c r="Q24" s="21"/>
      <c r="R24" s="21"/>
    </row>
    <row r="25">
      <c r="P25" s="24" t="s">
        <v>0</v>
      </c>
      <c r="Q25" s="24" t="s">
        <v>1</v>
      </c>
      <c r="R25" s="24" t="s">
        <v>2</v>
      </c>
      <c r="S25" s="24" t="s">
        <v>19</v>
      </c>
      <c r="T25" s="24" t="s">
        <v>4</v>
      </c>
    </row>
    <row r="26">
      <c r="P26" s="25" t="s">
        <v>20</v>
      </c>
      <c r="Q26" s="26" t="s">
        <v>6</v>
      </c>
      <c r="R26" s="26" t="s">
        <v>21</v>
      </c>
      <c r="S26" s="25" t="s">
        <v>22</v>
      </c>
      <c r="T26" s="25" t="s">
        <v>23</v>
      </c>
    </row>
    <row r="27">
      <c r="P27" s="25" t="s">
        <v>24</v>
      </c>
      <c r="Q27" s="26" t="s">
        <v>6</v>
      </c>
      <c r="R27" s="26" t="s">
        <v>21</v>
      </c>
      <c r="S27" s="25" t="s">
        <v>25</v>
      </c>
      <c r="T27" s="25" t="s">
        <v>26</v>
      </c>
    </row>
    <row r="28">
      <c r="P28" s="25" t="s">
        <v>27</v>
      </c>
      <c r="Q28" s="26" t="s">
        <v>6</v>
      </c>
      <c r="R28" s="26" t="s">
        <v>21</v>
      </c>
      <c r="S28" s="25" t="s">
        <v>28</v>
      </c>
      <c r="T28" s="25" t="s">
        <v>29</v>
      </c>
    </row>
    <row r="29">
      <c r="P29" s="25" t="s">
        <v>30</v>
      </c>
      <c r="Q29" s="26" t="s">
        <v>6</v>
      </c>
      <c r="R29" s="26" t="s">
        <v>7</v>
      </c>
      <c r="S29" s="25" t="s">
        <v>31</v>
      </c>
      <c r="T29" s="25" t="s">
        <v>32</v>
      </c>
    </row>
    <row r="30">
      <c r="P30" s="25" t="s">
        <v>33</v>
      </c>
      <c r="Q30" s="26" t="s">
        <v>6</v>
      </c>
      <c r="R30" s="26" t="s">
        <v>7</v>
      </c>
      <c r="S30" s="25" t="s">
        <v>34</v>
      </c>
      <c r="T30" s="25" t="s">
        <v>35</v>
      </c>
    </row>
    <row r="31">
      <c r="P31" s="25" t="s">
        <v>36</v>
      </c>
      <c r="Q31" s="26" t="s">
        <v>6</v>
      </c>
      <c r="R31" s="26" t="s">
        <v>7</v>
      </c>
      <c r="S31" s="25" t="s">
        <v>37</v>
      </c>
      <c r="T31" s="25" t="s">
        <v>38</v>
      </c>
    </row>
    <row r="32">
      <c r="P32" s="25" t="s">
        <v>39</v>
      </c>
      <c r="Q32" s="26" t="s">
        <v>11</v>
      </c>
      <c r="R32" s="26" t="s">
        <v>7</v>
      </c>
      <c r="S32" s="25" t="s">
        <v>40</v>
      </c>
      <c r="T32" s="25" t="s">
        <v>41</v>
      </c>
    </row>
    <row r="33">
      <c r="P33" s="25" t="s">
        <v>42</v>
      </c>
      <c r="Q33" s="26" t="s">
        <v>11</v>
      </c>
      <c r="R33" s="26" t="s">
        <v>7</v>
      </c>
      <c r="S33" s="25" t="s">
        <v>43</v>
      </c>
      <c r="T33" s="25" t="s">
        <v>44</v>
      </c>
    </row>
    <row r="34">
      <c r="P34" s="25" t="s">
        <v>45</v>
      </c>
      <c r="Q34" s="26" t="s">
        <v>11</v>
      </c>
      <c r="R34" s="26" t="s">
        <v>7</v>
      </c>
      <c r="S34" s="25" t="s">
        <v>46</v>
      </c>
      <c r="T34" s="25" t="s">
        <v>47</v>
      </c>
    </row>
    <row r="35">
      <c r="P35" s="25" t="s">
        <v>36</v>
      </c>
      <c r="Q35" s="26" t="s">
        <v>11</v>
      </c>
      <c r="R35" s="26" t="s">
        <v>48</v>
      </c>
      <c r="S35" s="25" t="s">
        <v>49</v>
      </c>
      <c r="T35" s="25" t="s">
        <v>50</v>
      </c>
    </row>
    <row r="36">
      <c r="P36" s="25" t="s">
        <v>51</v>
      </c>
      <c r="Q36" s="26" t="s">
        <v>11</v>
      </c>
      <c r="R36" s="26" t="s">
        <v>48</v>
      </c>
      <c r="S36" s="25" t="s">
        <v>52</v>
      </c>
      <c r="T36" s="25" t="s">
        <v>26</v>
      </c>
    </row>
    <row r="37">
      <c r="P37" s="25" t="s">
        <v>53</v>
      </c>
      <c r="Q37" s="26" t="s">
        <v>11</v>
      </c>
      <c r="R37" s="26" t="s">
        <v>48</v>
      </c>
      <c r="S37" s="25" t="s">
        <v>54</v>
      </c>
      <c r="T37" s="25" t="s">
        <v>55</v>
      </c>
    </row>
    <row r="38">
      <c r="P38" s="25" t="s">
        <v>56</v>
      </c>
      <c r="Q38" s="26" t="s">
        <v>57</v>
      </c>
      <c r="R38" s="26" t="s">
        <v>48</v>
      </c>
      <c r="S38" s="25" t="s">
        <v>58</v>
      </c>
      <c r="T38" s="25" t="s">
        <v>44</v>
      </c>
    </row>
    <row r="39">
      <c r="P39" s="25" t="s">
        <v>59</v>
      </c>
      <c r="Q39" s="26" t="s">
        <v>57</v>
      </c>
      <c r="R39" s="26" t="s">
        <v>48</v>
      </c>
      <c r="S39" s="25" t="s">
        <v>60</v>
      </c>
      <c r="T39" s="25" t="s">
        <v>61</v>
      </c>
    </row>
    <row r="40">
      <c r="P40" s="25" t="s">
        <v>62</v>
      </c>
      <c r="Q40" s="26" t="s">
        <v>57</v>
      </c>
      <c r="R40" s="26" t="s">
        <v>48</v>
      </c>
      <c r="S40" s="25" t="s">
        <v>63</v>
      </c>
      <c r="T40" s="25" t="s">
        <v>64</v>
      </c>
    </row>
    <row r="41">
      <c r="P41" s="25" t="s">
        <v>65</v>
      </c>
      <c r="Q41" s="26" t="s">
        <v>57</v>
      </c>
      <c r="R41" s="26" t="s">
        <v>48</v>
      </c>
      <c r="S41" s="25" t="s">
        <v>66</v>
      </c>
      <c r="T41" s="25" t="s">
        <v>67</v>
      </c>
    </row>
    <row r="42">
      <c r="P42" s="25" t="s">
        <v>68</v>
      </c>
      <c r="Q42" s="26" t="s">
        <v>57</v>
      </c>
      <c r="R42" s="26" t="s">
        <v>48</v>
      </c>
      <c r="S42" s="25" t="s">
        <v>69</v>
      </c>
      <c r="T42" s="25" t="s">
        <v>70</v>
      </c>
    </row>
    <row r="43">
      <c r="P43" s="25" t="s">
        <v>71</v>
      </c>
      <c r="Q43" s="26" t="s">
        <v>57</v>
      </c>
      <c r="R43" s="26" t="s">
        <v>48</v>
      </c>
      <c r="S43" s="25" t="s">
        <v>72</v>
      </c>
      <c r="T43" s="25" t="s">
        <v>73</v>
      </c>
    </row>
    <row r="44">
      <c r="P44" s="25" t="s">
        <v>74</v>
      </c>
      <c r="Q44" s="26" t="s">
        <v>57</v>
      </c>
      <c r="R44" s="26" t="s">
        <v>48</v>
      </c>
      <c r="S44" s="25" t="s">
        <v>75</v>
      </c>
      <c r="T44" s="25" t="s">
        <v>76</v>
      </c>
    </row>
    <row r="45">
      <c r="P45" s="25" t="s">
        <v>77</v>
      </c>
      <c r="Q45" s="26" t="s">
        <v>57</v>
      </c>
      <c r="R45" s="26" t="s">
        <v>48</v>
      </c>
      <c r="S45" s="25" t="s">
        <v>78</v>
      </c>
      <c r="T45" s="25" t="s">
        <v>79</v>
      </c>
    </row>
    <row r="48">
      <c r="Q48" s="21"/>
      <c r="R48" s="21"/>
    </row>
    <row r="49">
      <c r="Q49" s="21"/>
      <c r="R49" s="21"/>
    </row>
    <row r="50">
      <c r="Q50" s="21"/>
      <c r="R50" s="21"/>
    </row>
    <row r="51">
      <c r="Q51" s="21"/>
      <c r="R51" s="21"/>
    </row>
    <row r="52">
      <c r="Q52" s="21"/>
      <c r="R52" s="21"/>
    </row>
    <row r="53">
      <c r="Q53" s="21"/>
      <c r="R53" s="21"/>
    </row>
    <row r="54">
      <c r="Q54" s="21"/>
      <c r="R54" s="21"/>
    </row>
    <row r="55">
      <c r="Q55" s="21"/>
      <c r="R55" s="21"/>
    </row>
    <row r="56">
      <c r="Q56" s="21"/>
      <c r="R56" s="21"/>
    </row>
    <row r="57">
      <c r="Q57" s="21"/>
      <c r="R57" s="21"/>
    </row>
    <row r="58">
      <c r="Q58" s="21"/>
      <c r="R58" s="21"/>
    </row>
    <row r="59">
      <c r="Q59" s="21"/>
      <c r="R59" s="21"/>
    </row>
    <row r="60">
      <c r="Q60" s="21"/>
      <c r="R60" s="21"/>
    </row>
    <row r="61">
      <c r="Q61" s="21"/>
      <c r="R61" s="21"/>
    </row>
    <row r="62">
      <c r="Q62" s="21"/>
      <c r="R62" s="21"/>
    </row>
    <row r="63">
      <c r="Q63" s="21"/>
      <c r="R63" s="21"/>
    </row>
    <row r="64">
      <c r="Q64" s="21"/>
      <c r="R64" s="21"/>
    </row>
    <row r="65">
      <c r="Q65" s="21"/>
      <c r="R65" s="21"/>
    </row>
    <row r="66">
      <c r="Q66" s="21"/>
      <c r="R66" s="21"/>
    </row>
    <row r="67">
      <c r="Q67" s="21"/>
      <c r="R67" s="21"/>
    </row>
    <row r="68">
      <c r="Q68" s="21"/>
      <c r="R68" s="21"/>
    </row>
    <row r="69">
      <c r="Q69" s="21"/>
      <c r="R69" s="21"/>
    </row>
    <row r="70">
      <c r="Q70" s="21"/>
      <c r="R70" s="21"/>
    </row>
    <row r="71">
      <c r="Q71" s="21"/>
      <c r="R71" s="21"/>
    </row>
    <row r="72">
      <c r="Q72" s="21"/>
      <c r="R72" s="21"/>
    </row>
    <row r="73">
      <c r="Q73" s="21"/>
      <c r="R73" s="21"/>
    </row>
    <row r="74">
      <c r="Q74" s="21"/>
      <c r="R74" s="21"/>
    </row>
    <row r="75">
      <c r="Q75" s="21"/>
      <c r="R75" s="21"/>
    </row>
    <row r="76">
      <c r="Q76" s="21"/>
      <c r="R76" s="21"/>
    </row>
    <row r="77">
      <c r="Q77" s="21"/>
      <c r="R77" s="21"/>
    </row>
    <row r="78">
      <c r="Q78" s="21"/>
      <c r="R78" s="21"/>
    </row>
    <row r="79">
      <c r="Q79" s="21"/>
      <c r="R79" s="21"/>
    </row>
    <row r="80">
      <c r="Q80" s="21"/>
      <c r="R80" s="21"/>
    </row>
    <row r="81">
      <c r="Q81" s="21"/>
      <c r="R81" s="21"/>
    </row>
    <row r="82">
      <c r="Q82" s="21"/>
      <c r="R82" s="21"/>
    </row>
    <row r="83">
      <c r="Q83" s="21"/>
      <c r="R83" s="21"/>
    </row>
    <row r="84">
      <c r="Q84" s="21"/>
      <c r="R84" s="21"/>
    </row>
    <row r="85">
      <c r="Q85" s="21"/>
      <c r="R85" s="21"/>
    </row>
    <row r="86">
      <c r="Q86" s="21"/>
      <c r="R86" s="21"/>
    </row>
    <row r="87">
      <c r="Q87" s="21"/>
      <c r="R87" s="21"/>
    </row>
    <row r="88">
      <c r="Q88" s="21"/>
      <c r="R88" s="21"/>
    </row>
    <row r="89">
      <c r="Q89" s="21"/>
      <c r="R89" s="21"/>
    </row>
    <row r="90">
      <c r="Q90" s="21"/>
      <c r="R90" s="21"/>
    </row>
    <row r="91">
      <c r="Q91" s="21"/>
      <c r="R91" s="21"/>
    </row>
    <row r="92">
      <c r="Q92" s="21"/>
      <c r="R92" s="21"/>
    </row>
    <row r="93">
      <c r="Q93" s="21"/>
      <c r="R93" s="21"/>
    </row>
    <row r="94">
      <c r="Q94" s="21"/>
      <c r="R94" s="21"/>
    </row>
    <row r="95">
      <c r="Q95" s="21"/>
      <c r="R95" s="21"/>
    </row>
    <row r="96">
      <c r="Q96" s="21"/>
      <c r="R96" s="21"/>
    </row>
    <row r="97">
      <c r="Q97" s="21"/>
      <c r="R97" s="21"/>
    </row>
    <row r="98">
      <c r="Q98" s="21"/>
      <c r="R98" s="21"/>
    </row>
    <row r="99">
      <c r="Q99" s="21"/>
      <c r="R99" s="21"/>
    </row>
    <row r="100">
      <c r="Q100" s="21"/>
      <c r="R100" s="21"/>
    </row>
    <row r="101">
      <c r="Q101" s="21"/>
      <c r="R101" s="21"/>
    </row>
    <row r="102">
      <c r="Q102" s="21"/>
      <c r="R102" s="21"/>
    </row>
    <row r="103">
      <c r="Q103" s="21"/>
      <c r="R103" s="21"/>
    </row>
    <row r="104">
      <c r="Q104" s="21"/>
      <c r="R104" s="21"/>
    </row>
    <row r="105">
      <c r="Q105" s="21"/>
      <c r="R105" s="21"/>
    </row>
    <row r="106">
      <c r="Q106" s="21"/>
      <c r="R106" s="21"/>
    </row>
    <row r="107">
      <c r="Q107" s="21"/>
      <c r="R107" s="21"/>
    </row>
    <row r="108">
      <c r="Q108" s="21"/>
      <c r="R108" s="21"/>
    </row>
    <row r="109">
      <c r="Q109" s="21"/>
      <c r="R109" s="21"/>
    </row>
    <row r="110">
      <c r="Q110" s="21"/>
      <c r="R110" s="21"/>
    </row>
    <row r="111">
      <c r="Q111" s="21"/>
      <c r="R111" s="21"/>
    </row>
    <row r="112">
      <c r="Q112" s="21"/>
      <c r="R112" s="21"/>
    </row>
    <row r="113">
      <c r="Q113" s="21"/>
      <c r="R113" s="21"/>
    </row>
    <row r="114">
      <c r="Q114" s="21"/>
      <c r="R114" s="21"/>
    </row>
    <row r="115">
      <c r="Q115" s="21"/>
      <c r="R115" s="21"/>
    </row>
    <row r="116">
      <c r="Q116" s="21"/>
      <c r="R116" s="21"/>
    </row>
    <row r="117">
      <c r="Q117" s="21"/>
      <c r="R117" s="21"/>
    </row>
    <row r="118">
      <c r="Q118" s="21"/>
      <c r="R118" s="21"/>
    </row>
    <row r="119">
      <c r="Q119" s="21"/>
      <c r="R119" s="21"/>
    </row>
    <row r="120">
      <c r="Q120" s="21"/>
      <c r="R120" s="21"/>
    </row>
    <row r="121">
      <c r="Q121" s="21"/>
      <c r="R121" s="21"/>
    </row>
    <row r="122">
      <c r="Q122" s="21"/>
      <c r="R122" s="21"/>
    </row>
    <row r="123">
      <c r="Q123" s="21"/>
      <c r="R123" s="21"/>
    </row>
    <row r="124">
      <c r="Q124" s="21"/>
      <c r="R124" s="21"/>
    </row>
    <row r="125">
      <c r="Q125" s="21"/>
      <c r="R125" s="21"/>
    </row>
    <row r="126">
      <c r="Q126" s="21"/>
      <c r="R126" s="21"/>
    </row>
    <row r="127">
      <c r="Q127" s="21"/>
      <c r="R127" s="21"/>
    </row>
    <row r="128">
      <c r="Q128" s="21"/>
      <c r="R128" s="21"/>
    </row>
    <row r="129">
      <c r="Q129" s="21"/>
      <c r="R129" s="21"/>
    </row>
    <row r="130">
      <c r="Q130" s="21"/>
      <c r="R130" s="21"/>
    </row>
    <row r="131">
      <c r="Q131" s="21"/>
      <c r="R131" s="21"/>
    </row>
    <row r="132">
      <c r="Q132" s="21"/>
      <c r="R132" s="21"/>
    </row>
    <row r="133">
      <c r="Q133" s="21"/>
      <c r="R133" s="21"/>
    </row>
    <row r="134">
      <c r="Q134" s="21"/>
      <c r="R134" s="21"/>
    </row>
    <row r="135">
      <c r="Q135" s="21"/>
      <c r="R135" s="21"/>
    </row>
    <row r="136">
      <c r="Q136" s="21"/>
      <c r="R136" s="21"/>
    </row>
    <row r="137">
      <c r="Q137" s="21"/>
      <c r="R137" s="21"/>
    </row>
    <row r="138">
      <c r="Q138" s="21"/>
      <c r="R138" s="21"/>
    </row>
    <row r="139">
      <c r="Q139" s="21"/>
      <c r="R139" s="21"/>
    </row>
    <row r="140">
      <c r="Q140" s="21"/>
      <c r="R140" s="21"/>
    </row>
    <row r="141">
      <c r="Q141" s="21"/>
      <c r="R141" s="21"/>
    </row>
    <row r="142">
      <c r="Q142" s="21"/>
      <c r="R142" s="21"/>
    </row>
    <row r="143">
      <c r="Q143" s="21"/>
      <c r="R143" s="21"/>
    </row>
    <row r="144">
      <c r="Q144" s="21"/>
      <c r="R144" s="21"/>
    </row>
    <row r="145">
      <c r="Q145" s="21"/>
      <c r="R145" s="21"/>
    </row>
    <row r="146">
      <c r="Q146" s="21"/>
      <c r="R146" s="21"/>
    </row>
    <row r="147">
      <c r="Q147" s="21"/>
      <c r="R147" s="21"/>
    </row>
    <row r="148">
      <c r="Q148" s="21"/>
      <c r="R148" s="21"/>
    </row>
    <row r="149">
      <c r="Q149" s="21"/>
      <c r="R149" s="21"/>
    </row>
    <row r="150">
      <c r="Q150" s="21"/>
      <c r="R150" s="21"/>
    </row>
    <row r="151">
      <c r="Q151" s="21"/>
      <c r="R151" s="21"/>
    </row>
    <row r="152">
      <c r="Q152" s="21"/>
      <c r="R152" s="21"/>
    </row>
    <row r="153">
      <c r="Q153" s="21"/>
      <c r="R153" s="21"/>
    </row>
    <row r="154">
      <c r="Q154" s="21"/>
      <c r="R154" s="21"/>
    </row>
    <row r="155">
      <c r="Q155" s="21"/>
      <c r="R155" s="21"/>
    </row>
    <row r="156">
      <c r="Q156" s="21"/>
      <c r="R156" s="21"/>
    </row>
    <row r="157">
      <c r="Q157" s="21"/>
      <c r="R157" s="21"/>
    </row>
    <row r="158">
      <c r="Q158" s="21"/>
      <c r="R158" s="21"/>
    </row>
    <row r="159">
      <c r="Q159" s="21"/>
      <c r="R159" s="21"/>
    </row>
    <row r="160">
      <c r="Q160" s="21"/>
      <c r="R160" s="21"/>
    </row>
    <row r="161">
      <c r="Q161" s="21"/>
      <c r="R161" s="21"/>
    </row>
    <row r="162">
      <c r="Q162" s="21"/>
      <c r="R162" s="21"/>
    </row>
    <row r="163">
      <c r="Q163" s="21"/>
      <c r="R163" s="21"/>
    </row>
    <row r="164">
      <c r="Q164" s="21"/>
      <c r="R164" s="21"/>
    </row>
    <row r="165">
      <c r="Q165" s="21"/>
      <c r="R165" s="21"/>
    </row>
    <row r="166">
      <c r="Q166" s="21"/>
      <c r="R166" s="21"/>
    </row>
    <row r="167">
      <c r="Q167" s="21"/>
      <c r="R167" s="21"/>
    </row>
    <row r="168">
      <c r="Q168" s="21"/>
      <c r="R168" s="21"/>
    </row>
    <row r="169">
      <c r="Q169" s="21"/>
      <c r="R169" s="21"/>
    </row>
    <row r="170">
      <c r="Q170" s="21"/>
      <c r="R170" s="21"/>
    </row>
    <row r="171">
      <c r="Q171" s="21"/>
      <c r="R171" s="21"/>
    </row>
    <row r="172">
      <c r="Q172" s="21"/>
      <c r="R172" s="21"/>
    </row>
    <row r="173">
      <c r="Q173" s="21"/>
      <c r="R173" s="21"/>
    </row>
    <row r="174">
      <c r="Q174" s="21"/>
      <c r="R174" s="21"/>
    </row>
    <row r="175">
      <c r="Q175" s="21"/>
      <c r="R175" s="21"/>
    </row>
    <row r="176">
      <c r="Q176" s="21"/>
      <c r="R176" s="21"/>
    </row>
    <row r="177">
      <c r="Q177" s="21"/>
      <c r="R177" s="21"/>
    </row>
    <row r="178">
      <c r="Q178" s="21"/>
      <c r="R178" s="21"/>
    </row>
    <row r="179">
      <c r="Q179" s="21"/>
      <c r="R179" s="21"/>
    </row>
    <row r="180">
      <c r="Q180" s="21"/>
      <c r="R180" s="21"/>
    </row>
    <row r="181">
      <c r="Q181" s="21"/>
      <c r="R181" s="21"/>
    </row>
    <row r="182">
      <c r="Q182" s="21"/>
      <c r="R182" s="21"/>
    </row>
    <row r="183">
      <c r="Q183" s="21"/>
      <c r="R183" s="21"/>
    </row>
    <row r="184">
      <c r="Q184" s="21"/>
      <c r="R184" s="21"/>
    </row>
    <row r="185">
      <c r="Q185" s="21"/>
      <c r="R185" s="21"/>
    </row>
    <row r="186">
      <c r="Q186" s="21"/>
      <c r="R186" s="21"/>
    </row>
    <row r="187">
      <c r="Q187" s="21"/>
      <c r="R187" s="21"/>
    </row>
    <row r="188">
      <c r="Q188" s="21"/>
      <c r="R188" s="21"/>
    </row>
    <row r="189">
      <c r="Q189" s="21"/>
      <c r="R189" s="21"/>
    </row>
    <row r="190">
      <c r="Q190" s="21"/>
      <c r="R190" s="21"/>
    </row>
    <row r="191">
      <c r="Q191" s="21"/>
      <c r="R191" s="21"/>
    </row>
    <row r="192">
      <c r="Q192" s="21"/>
      <c r="R192" s="21"/>
    </row>
    <row r="193">
      <c r="Q193" s="21"/>
      <c r="R193" s="21"/>
    </row>
    <row r="194">
      <c r="Q194" s="21"/>
      <c r="R194" s="21"/>
    </row>
    <row r="195">
      <c r="Q195" s="21"/>
      <c r="R195" s="21"/>
    </row>
    <row r="196">
      <c r="Q196" s="21"/>
      <c r="R196" s="21"/>
    </row>
    <row r="197">
      <c r="Q197" s="21"/>
      <c r="R197" s="21"/>
    </row>
    <row r="198">
      <c r="Q198" s="21"/>
      <c r="R198" s="21"/>
    </row>
    <row r="199">
      <c r="Q199" s="21"/>
      <c r="R199" s="21"/>
    </row>
    <row r="200">
      <c r="Q200" s="21"/>
      <c r="R200" s="21"/>
    </row>
    <row r="201">
      <c r="Q201" s="21"/>
      <c r="R201" s="21"/>
    </row>
    <row r="202">
      <c r="Q202" s="21"/>
      <c r="R202" s="21"/>
    </row>
    <row r="203">
      <c r="Q203" s="21"/>
      <c r="R203" s="21"/>
    </row>
    <row r="204">
      <c r="Q204" s="21"/>
      <c r="R204" s="21"/>
    </row>
    <row r="205">
      <c r="Q205" s="21"/>
      <c r="R205" s="21"/>
    </row>
    <row r="206">
      <c r="Q206" s="21"/>
      <c r="R206" s="21"/>
    </row>
    <row r="207">
      <c r="Q207" s="21"/>
      <c r="R207" s="21"/>
    </row>
    <row r="208">
      <c r="Q208" s="21"/>
      <c r="R208" s="21"/>
    </row>
    <row r="209">
      <c r="Q209" s="21"/>
      <c r="R209" s="21"/>
    </row>
    <row r="210">
      <c r="Q210" s="21"/>
      <c r="R210" s="21"/>
    </row>
    <row r="211">
      <c r="Q211" s="21"/>
      <c r="R211" s="21"/>
    </row>
    <row r="212">
      <c r="Q212" s="21"/>
      <c r="R212" s="21"/>
    </row>
    <row r="213">
      <c r="Q213" s="21"/>
      <c r="R213" s="21"/>
    </row>
    <row r="214">
      <c r="Q214" s="21"/>
      <c r="R214" s="21"/>
    </row>
    <row r="215">
      <c r="Q215" s="21"/>
      <c r="R215" s="21"/>
    </row>
    <row r="216">
      <c r="Q216" s="21"/>
      <c r="R216" s="21"/>
    </row>
    <row r="217">
      <c r="Q217" s="21"/>
      <c r="R217" s="21"/>
    </row>
    <row r="218">
      <c r="Q218" s="21"/>
      <c r="R218" s="21"/>
    </row>
    <row r="219">
      <c r="Q219" s="21"/>
      <c r="R219" s="21"/>
    </row>
    <row r="220">
      <c r="Q220" s="21"/>
      <c r="R220" s="21"/>
    </row>
    <row r="221">
      <c r="Q221" s="21"/>
      <c r="R221" s="21"/>
    </row>
    <row r="222">
      <c r="Q222" s="21"/>
      <c r="R222" s="21"/>
    </row>
    <row r="223">
      <c r="Q223" s="21"/>
      <c r="R223" s="21"/>
    </row>
    <row r="224">
      <c r="Q224" s="21"/>
      <c r="R224" s="21"/>
    </row>
    <row r="225">
      <c r="Q225" s="21"/>
      <c r="R225" s="21"/>
    </row>
    <row r="226">
      <c r="Q226" s="21"/>
      <c r="R226" s="21"/>
    </row>
    <row r="227">
      <c r="Q227" s="21"/>
      <c r="R227" s="21"/>
    </row>
    <row r="228">
      <c r="Q228" s="21"/>
      <c r="R228" s="21"/>
    </row>
    <row r="229">
      <c r="Q229" s="21"/>
      <c r="R229" s="21"/>
    </row>
    <row r="230">
      <c r="Q230" s="21"/>
      <c r="R230" s="21"/>
    </row>
    <row r="231">
      <c r="Q231" s="21"/>
      <c r="R231" s="21"/>
    </row>
    <row r="232">
      <c r="Q232" s="21"/>
      <c r="R232" s="21"/>
    </row>
    <row r="233">
      <c r="Q233" s="21"/>
      <c r="R233" s="21"/>
    </row>
    <row r="234">
      <c r="Q234" s="21"/>
      <c r="R234" s="21"/>
    </row>
    <row r="235">
      <c r="Q235" s="21"/>
      <c r="R235" s="21"/>
    </row>
    <row r="236">
      <c r="Q236" s="21"/>
      <c r="R236" s="21"/>
    </row>
    <row r="237">
      <c r="Q237" s="21"/>
      <c r="R237" s="21"/>
    </row>
    <row r="238">
      <c r="Q238" s="21"/>
      <c r="R238" s="21"/>
    </row>
    <row r="239">
      <c r="Q239" s="21"/>
      <c r="R239" s="21"/>
    </row>
    <row r="240">
      <c r="Q240" s="21"/>
      <c r="R240" s="21"/>
    </row>
    <row r="241">
      <c r="Q241" s="21"/>
      <c r="R241" s="21"/>
    </row>
    <row r="242">
      <c r="Q242" s="21"/>
      <c r="R242" s="21"/>
    </row>
    <row r="243">
      <c r="Q243" s="21"/>
      <c r="R243" s="21"/>
    </row>
    <row r="244">
      <c r="Q244" s="21"/>
      <c r="R244" s="21"/>
    </row>
    <row r="245">
      <c r="Q245" s="21"/>
      <c r="R245" s="21"/>
    </row>
    <row r="246">
      <c r="Q246" s="21"/>
      <c r="R246" s="21"/>
    </row>
    <row r="247">
      <c r="Q247" s="21"/>
      <c r="R247" s="21"/>
    </row>
    <row r="248">
      <c r="Q248" s="21"/>
      <c r="R248" s="21"/>
    </row>
    <row r="249">
      <c r="Q249" s="21"/>
      <c r="R249" s="21"/>
    </row>
    <row r="250">
      <c r="Q250" s="21"/>
      <c r="R250" s="21"/>
    </row>
    <row r="251">
      <c r="Q251" s="21"/>
      <c r="R251" s="21"/>
    </row>
    <row r="252">
      <c r="Q252" s="21"/>
      <c r="R252" s="21"/>
    </row>
    <row r="253">
      <c r="Q253" s="21"/>
      <c r="R253" s="21"/>
    </row>
    <row r="254">
      <c r="Q254" s="21"/>
      <c r="R254" s="21"/>
    </row>
    <row r="255">
      <c r="Q255" s="21"/>
      <c r="R255" s="21"/>
    </row>
    <row r="256">
      <c r="Q256" s="21"/>
      <c r="R256" s="21"/>
    </row>
    <row r="257">
      <c r="Q257" s="21"/>
      <c r="R257" s="21"/>
    </row>
    <row r="258">
      <c r="Q258" s="21"/>
      <c r="R258" s="21"/>
    </row>
    <row r="259">
      <c r="Q259" s="21"/>
      <c r="R259" s="21"/>
    </row>
    <row r="260">
      <c r="Q260" s="21"/>
      <c r="R260" s="21"/>
    </row>
    <row r="261">
      <c r="Q261" s="21"/>
      <c r="R261" s="21"/>
    </row>
    <row r="262">
      <c r="Q262" s="21"/>
      <c r="R262" s="21"/>
    </row>
    <row r="263">
      <c r="Q263" s="21"/>
      <c r="R263" s="21"/>
    </row>
    <row r="264">
      <c r="Q264" s="21"/>
      <c r="R264" s="21"/>
    </row>
    <row r="265">
      <c r="Q265" s="21"/>
      <c r="R265" s="21"/>
    </row>
    <row r="266">
      <c r="Q266" s="21"/>
      <c r="R266" s="21"/>
    </row>
    <row r="267">
      <c r="Q267" s="21"/>
      <c r="R267" s="21"/>
    </row>
    <row r="268">
      <c r="Q268" s="21"/>
      <c r="R268" s="21"/>
    </row>
    <row r="269">
      <c r="Q269" s="21"/>
      <c r="R269" s="21"/>
    </row>
    <row r="270">
      <c r="Q270" s="21"/>
      <c r="R270" s="21"/>
    </row>
    <row r="271">
      <c r="Q271" s="21"/>
      <c r="R271" s="21"/>
    </row>
    <row r="272">
      <c r="Q272" s="21"/>
      <c r="R272" s="21"/>
    </row>
    <row r="273">
      <c r="Q273" s="21"/>
      <c r="R273" s="21"/>
    </row>
    <row r="274">
      <c r="Q274" s="21"/>
      <c r="R274" s="21"/>
    </row>
    <row r="275">
      <c r="Q275" s="21"/>
      <c r="R275" s="21"/>
    </row>
    <row r="276">
      <c r="Q276" s="21"/>
      <c r="R276" s="21"/>
    </row>
    <row r="277">
      <c r="Q277" s="21"/>
      <c r="R277" s="21"/>
    </row>
    <row r="278">
      <c r="Q278" s="21"/>
      <c r="R278" s="21"/>
    </row>
    <row r="279">
      <c r="Q279" s="21"/>
      <c r="R279" s="21"/>
    </row>
    <row r="280">
      <c r="Q280" s="21"/>
      <c r="R280" s="21"/>
    </row>
    <row r="281">
      <c r="Q281" s="21"/>
      <c r="R281" s="21"/>
    </row>
    <row r="282">
      <c r="Q282" s="21"/>
      <c r="R282" s="21"/>
    </row>
    <row r="283">
      <c r="Q283" s="21"/>
      <c r="R283" s="21"/>
    </row>
    <row r="284">
      <c r="Q284" s="21"/>
      <c r="R284" s="21"/>
    </row>
    <row r="285">
      <c r="Q285" s="21"/>
      <c r="R285" s="21"/>
    </row>
    <row r="286">
      <c r="Q286" s="21"/>
      <c r="R286" s="21"/>
    </row>
    <row r="287">
      <c r="Q287" s="21"/>
      <c r="R287" s="21"/>
    </row>
    <row r="288">
      <c r="Q288" s="21"/>
      <c r="R288" s="21"/>
    </row>
    <row r="289">
      <c r="Q289" s="21"/>
      <c r="R289" s="21"/>
    </row>
    <row r="290">
      <c r="Q290" s="21"/>
      <c r="R290" s="21"/>
    </row>
    <row r="291">
      <c r="Q291" s="21"/>
      <c r="R291" s="21"/>
    </row>
    <row r="292">
      <c r="Q292" s="21"/>
      <c r="R292" s="21"/>
    </row>
    <row r="293">
      <c r="Q293" s="21"/>
      <c r="R293" s="21"/>
    </row>
    <row r="294">
      <c r="Q294" s="21"/>
      <c r="R294" s="21"/>
    </row>
    <row r="295">
      <c r="Q295" s="21"/>
      <c r="R295" s="21"/>
    </row>
    <row r="296">
      <c r="Q296" s="21"/>
      <c r="R296" s="21"/>
    </row>
    <row r="297">
      <c r="Q297" s="21"/>
      <c r="R297" s="21"/>
    </row>
    <row r="298">
      <c r="Q298" s="21"/>
      <c r="R298" s="21"/>
    </row>
    <row r="299">
      <c r="Q299" s="21"/>
      <c r="R299" s="21"/>
    </row>
    <row r="300">
      <c r="Q300" s="21"/>
      <c r="R300" s="21"/>
    </row>
    <row r="301">
      <c r="Q301" s="21"/>
      <c r="R301" s="21"/>
    </row>
    <row r="302">
      <c r="Q302" s="21"/>
      <c r="R302" s="21"/>
    </row>
    <row r="303">
      <c r="Q303" s="21"/>
      <c r="R303" s="21"/>
    </row>
    <row r="304">
      <c r="Q304" s="21"/>
      <c r="R304" s="21"/>
    </row>
    <row r="305">
      <c r="Q305" s="21"/>
      <c r="R305" s="21"/>
    </row>
    <row r="306">
      <c r="Q306" s="21"/>
      <c r="R306" s="21"/>
    </row>
    <row r="307">
      <c r="Q307" s="21"/>
      <c r="R307" s="21"/>
    </row>
    <row r="308">
      <c r="Q308" s="21"/>
      <c r="R308" s="21"/>
    </row>
    <row r="309">
      <c r="Q309" s="21"/>
      <c r="R309" s="21"/>
    </row>
    <row r="310">
      <c r="Q310" s="21"/>
      <c r="R310" s="21"/>
    </row>
    <row r="311">
      <c r="Q311" s="21"/>
      <c r="R311" s="21"/>
    </row>
    <row r="312">
      <c r="Q312" s="21"/>
      <c r="R312" s="21"/>
    </row>
    <row r="313">
      <c r="Q313" s="21"/>
      <c r="R313" s="21"/>
    </row>
    <row r="314">
      <c r="Q314" s="21"/>
      <c r="R314" s="21"/>
    </row>
    <row r="315">
      <c r="Q315" s="21"/>
      <c r="R315" s="21"/>
    </row>
    <row r="316">
      <c r="Q316" s="21"/>
      <c r="R316" s="21"/>
    </row>
    <row r="317">
      <c r="Q317" s="21"/>
      <c r="R317" s="21"/>
    </row>
    <row r="318">
      <c r="Q318" s="21"/>
      <c r="R318" s="21"/>
    </row>
    <row r="319">
      <c r="Q319" s="21"/>
      <c r="R319" s="21"/>
    </row>
    <row r="320">
      <c r="Q320" s="21"/>
      <c r="R320" s="21"/>
    </row>
    <row r="321">
      <c r="Q321" s="21"/>
      <c r="R321" s="21"/>
    </row>
    <row r="322">
      <c r="Q322" s="21"/>
      <c r="R322" s="21"/>
    </row>
    <row r="323">
      <c r="Q323" s="21"/>
      <c r="R323" s="21"/>
    </row>
    <row r="324">
      <c r="Q324" s="21"/>
      <c r="R324" s="21"/>
    </row>
    <row r="325">
      <c r="Q325" s="21"/>
      <c r="R325" s="21"/>
    </row>
    <row r="326">
      <c r="Q326" s="21"/>
      <c r="R326" s="21"/>
    </row>
    <row r="327">
      <c r="Q327" s="21"/>
      <c r="R327" s="21"/>
    </row>
    <row r="328">
      <c r="Q328" s="21"/>
      <c r="R328" s="21"/>
    </row>
    <row r="329">
      <c r="Q329" s="21"/>
      <c r="R329" s="21"/>
    </row>
    <row r="330">
      <c r="Q330" s="21"/>
      <c r="R330" s="21"/>
    </row>
    <row r="331">
      <c r="Q331" s="21"/>
      <c r="R331" s="21"/>
    </row>
    <row r="332">
      <c r="Q332" s="21"/>
      <c r="R332" s="21"/>
    </row>
    <row r="333">
      <c r="Q333" s="21"/>
      <c r="R333" s="21"/>
    </row>
    <row r="334">
      <c r="Q334" s="21"/>
      <c r="R334" s="21"/>
    </row>
    <row r="335">
      <c r="Q335" s="21"/>
      <c r="R335" s="21"/>
    </row>
    <row r="336">
      <c r="Q336" s="21"/>
      <c r="R336" s="21"/>
    </row>
    <row r="337">
      <c r="Q337" s="21"/>
      <c r="R337" s="21"/>
    </row>
    <row r="338">
      <c r="Q338" s="21"/>
      <c r="R338" s="21"/>
    </row>
    <row r="339">
      <c r="Q339" s="21"/>
      <c r="R339" s="21"/>
    </row>
    <row r="340">
      <c r="Q340" s="21"/>
      <c r="R340" s="21"/>
    </row>
    <row r="341">
      <c r="Q341" s="21"/>
      <c r="R341" s="21"/>
    </row>
    <row r="342">
      <c r="Q342" s="21"/>
      <c r="R342" s="21"/>
    </row>
    <row r="343">
      <c r="Q343" s="21"/>
      <c r="R343" s="21"/>
    </row>
    <row r="344">
      <c r="Q344" s="21"/>
      <c r="R344" s="21"/>
    </row>
    <row r="345">
      <c r="Q345" s="21"/>
      <c r="R345" s="21"/>
    </row>
    <row r="346">
      <c r="Q346" s="21"/>
      <c r="R346" s="21"/>
    </row>
    <row r="347">
      <c r="Q347" s="21"/>
      <c r="R347" s="21"/>
    </row>
    <row r="348">
      <c r="Q348" s="21"/>
      <c r="R348" s="21"/>
    </row>
    <row r="349">
      <c r="Q349" s="21"/>
      <c r="R349" s="21"/>
    </row>
    <row r="350">
      <c r="Q350" s="21"/>
      <c r="R350" s="21"/>
    </row>
    <row r="351">
      <c r="Q351" s="21"/>
      <c r="R351" s="21"/>
    </row>
    <row r="352">
      <c r="Q352" s="21"/>
      <c r="R352" s="21"/>
    </row>
    <row r="353">
      <c r="Q353" s="21"/>
      <c r="R353" s="21"/>
    </row>
    <row r="354">
      <c r="Q354" s="21"/>
      <c r="R354" s="21"/>
    </row>
    <row r="355">
      <c r="Q355" s="21"/>
      <c r="R355" s="21"/>
    </row>
    <row r="356">
      <c r="Q356" s="21"/>
      <c r="R356" s="21"/>
    </row>
    <row r="357">
      <c r="Q357" s="21"/>
      <c r="R357" s="21"/>
    </row>
    <row r="358">
      <c r="Q358" s="21"/>
      <c r="R358" s="21"/>
    </row>
    <row r="359">
      <c r="Q359" s="21"/>
      <c r="R359" s="21"/>
    </row>
    <row r="360">
      <c r="Q360" s="21"/>
      <c r="R360" s="21"/>
    </row>
    <row r="361">
      <c r="Q361" s="21"/>
      <c r="R361" s="21"/>
    </row>
    <row r="362">
      <c r="Q362" s="21"/>
      <c r="R362" s="21"/>
    </row>
    <row r="363">
      <c r="Q363" s="21"/>
      <c r="R363" s="21"/>
    </row>
    <row r="364">
      <c r="Q364" s="21"/>
      <c r="R364" s="21"/>
    </row>
    <row r="365">
      <c r="Q365" s="21"/>
      <c r="R365" s="21"/>
    </row>
    <row r="366">
      <c r="Q366" s="21"/>
      <c r="R366" s="21"/>
    </row>
    <row r="367">
      <c r="Q367" s="21"/>
      <c r="R367" s="21"/>
    </row>
    <row r="368">
      <c r="Q368" s="21"/>
      <c r="R368" s="21"/>
    </row>
    <row r="369">
      <c r="Q369" s="21"/>
      <c r="R369" s="21"/>
    </row>
    <row r="370">
      <c r="Q370" s="21"/>
      <c r="R370" s="21"/>
    </row>
    <row r="371">
      <c r="Q371" s="21"/>
      <c r="R371" s="21"/>
    </row>
    <row r="372">
      <c r="Q372" s="21"/>
      <c r="R372" s="21"/>
    </row>
    <row r="373">
      <c r="Q373" s="21"/>
      <c r="R373" s="21"/>
    </row>
    <row r="374">
      <c r="Q374" s="21"/>
      <c r="R374" s="21"/>
    </row>
    <row r="375">
      <c r="Q375" s="21"/>
      <c r="R375" s="21"/>
    </row>
    <row r="376">
      <c r="Q376" s="21"/>
      <c r="R376" s="21"/>
    </row>
    <row r="377">
      <c r="Q377" s="21"/>
      <c r="R377" s="21"/>
    </row>
    <row r="378">
      <c r="Q378" s="21"/>
      <c r="R378" s="21"/>
    </row>
    <row r="379">
      <c r="Q379" s="21"/>
      <c r="R379" s="21"/>
    </row>
    <row r="380">
      <c r="Q380" s="21"/>
      <c r="R380" s="21"/>
    </row>
    <row r="381">
      <c r="Q381" s="21"/>
      <c r="R381" s="21"/>
    </row>
    <row r="382">
      <c r="Q382" s="21"/>
      <c r="R382" s="21"/>
    </row>
    <row r="383">
      <c r="Q383" s="21"/>
      <c r="R383" s="21"/>
    </row>
    <row r="384">
      <c r="Q384" s="21"/>
      <c r="R384" s="21"/>
    </row>
    <row r="385">
      <c r="Q385" s="21"/>
      <c r="R385" s="21"/>
    </row>
    <row r="386">
      <c r="Q386" s="21"/>
      <c r="R386" s="21"/>
    </row>
    <row r="387">
      <c r="Q387" s="21"/>
      <c r="R387" s="21"/>
    </row>
    <row r="388">
      <c r="Q388" s="21"/>
      <c r="R388" s="21"/>
    </row>
    <row r="389">
      <c r="Q389" s="21"/>
      <c r="R389" s="21"/>
    </row>
    <row r="390">
      <c r="Q390" s="21"/>
      <c r="R390" s="21"/>
    </row>
    <row r="391">
      <c r="Q391" s="21"/>
      <c r="R391" s="21"/>
    </row>
    <row r="392">
      <c r="Q392" s="21"/>
      <c r="R392" s="21"/>
    </row>
    <row r="393">
      <c r="Q393" s="21"/>
      <c r="R393" s="21"/>
    </row>
    <row r="394">
      <c r="Q394" s="21"/>
      <c r="R394" s="21"/>
    </row>
    <row r="395">
      <c r="Q395" s="21"/>
      <c r="R395" s="21"/>
    </row>
    <row r="396">
      <c r="Q396" s="21"/>
      <c r="R396" s="21"/>
    </row>
    <row r="397">
      <c r="Q397" s="21"/>
      <c r="R397" s="21"/>
    </row>
    <row r="398">
      <c r="Q398" s="21"/>
      <c r="R398" s="21"/>
    </row>
    <row r="399">
      <c r="Q399" s="21"/>
      <c r="R399" s="21"/>
    </row>
    <row r="400">
      <c r="Q400" s="21"/>
      <c r="R400" s="21"/>
    </row>
    <row r="401">
      <c r="Q401" s="21"/>
      <c r="R401" s="21"/>
    </row>
    <row r="402">
      <c r="Q402" s="21"/>
      <c r="R402" s="21"/>
    </row>
    <row r="403">
      <c r="Q403" s="21"/>
      <c r="R403" s="21"/>
    </row>
    <row r="404">
      <c r="Q404" s="21"/>
      <c r="R404" s="21"/>
    </row>
    <row r="405">
      <c r="Q405" s="21"/>
      <c r="R405" s="21"/>
    </row>
    <row r="406">
      <c r="Q406" s="21"/>
      <c r="R406" s="21"/>
    </row>
    <row r="407">
      <c r="Q407" s="21"/>
      <c r="R407" s="21"/>
    </row>
    <row r="408">
      <c r="Q408" s="21"/>
      <c r="R408" s="21"/>
    </row>
    <row r="409">
      <c r="Q409" s="21"/>
      <c r="R409" s="21"/>
    </row>
    <row r="410">
      <c r="Q410" s="21"/>
      <c r="R410" s="21"/>
    </row>
    <row r="411">
      <c r="Q411" s="21"/>
      <c r="R411" s="21"/>
    </row>
    <row r="412">
      <c r="Q412" s="21"/>
      <c r="R412" s="21"/>
    </row>
    <row r="413">
      <c r="Q413" s="21"/>
      <c r="R413" s="21"/>
    </row>
    <row r="414">
      <c r="Q414" s="21"/>
      <c r="R414" s="21"/>
    </row>
    <row r="415">
      <c r="Q415" s="21"/>
      <c r="R415" s="21"/>
    </row>
    <row r="416">
      <c r="Q416" s="21"/>
      <c r="R416" s="21"/>
    </row>
    <row r="417">
      <c r="Q417" s="21"/>
      <c r="R417" s="21"/>
    </row>
    <row r="418">
      <c r="Q418" s="21"/>
      <c r="R418" s="21"/>
    </row>
    <row r="419">
      <c r="Q419" s="21"/>
      <c r="R419" s="21"/>
    </row>
    <row r="420">
      <c r="Q420" s="21"/>
      <c r="R420" s="21"/>
    </row>
    <row r="421">
      <c r="Q421" s="21"/>
      <c r="R421" s="21"/>
    </row>
    <row r="422">
      <c r="Q422" s="21"/>
      <c r="R422" s="21"/>
    </row>
    <row r="423">
      <c r="Q423" s="21"/>
      <c r="R423" s="21"/>
    </row>
    <row r="424">
      <c r="Q424" s="21"/>
      <c r="R424" s="21"/>
    </row>
    <row r="425">
      <c r="Q425" s="21"/>
      <c r="R425" s="21"/>
    </row>
    <row r="426">
      <c r="Q426" s="21"/>
      <c r="R426" s="21"/>
    </row>
    <row r="427">
      <c r="Q427" s="21"/>
      <c r="R427" s="21"/>
    </row>
    <row r="428">
      <c r="Q428" s="21"/>
      <c r="R428" s="21"/>
    </row>
    <row r="429">
      <c r="Q429" s="21"/>
      <c r="R429" s="21"/>
    </row>
    <row r="430">
      <c r="Q430" s="21"/>
      <c r="R430" s="21"/>
    </row>
    <row r="431">
      <c r="Q431" s="21"/>
      <c r="R431" s="21"/>
    </row>
    <row r="432">
      <c r="Q432" s="21"/>
      <c r="R432" s="21"/>
    </row>
    <row r="433">
      <c r="Q433" s="21"/>
      <c r="R433" s="21"/>
    </row>
    <row r="434">
      <c r="Q434" s="21"/>
      <c r="R434" s="21"/>
    </row>
    <row r="435">
      <c r="Q435" s="21"/>
      <c r="R435" s="21"/>
    </row>
    <row r="436">
      <c r="Q436" s="21"/>
      <c r="R436" s="21"/>
    </row>
    <row r="437">
      <c r="Q437" s="21"/>
      <c r="R437" s="21"/>
    </row>
    <row r="438">
      <c r="Q438" s="21"/>
      <c r="R438" s="21"/>
    </row>
    <row r="439">
      <c r="Q439" s="21"/>
      <c r="R439" s="21"/>
    </row>
    <row r="440">
      <c r="Q440" s="21"/>
      <c r="R440" s="21"/>
    </row>
    <row r="441">
      <c r="Q441" s="21"/>
      <c r="R441" s="21"/>
    </row>
    <row r="442">
      <c r="Q442" s="21"/>
      <c r="R442" s="21"/>
    </row>
    <row r="443">
      <c r="Q443" s="21"/>
      <c r="R443" s="21"/>
    </row>
    <row r="444">
      <c r="Q444" s="21"/>
      <c r="R444" s="21"/>
    </row>
    <row r="445">
      <c r="Q445" s="21"/>
      <c r="R445" s="21"/>
    </row>
    <row r="446">
      <c r="Q446" s="21"/>
      <c r="R446" s="21"/>
    </row>
    <row r="447">
      <c r="Q447" s="21"/>
      <c r="R447" s="21"/>
    </row>
    <row r="448">
      <c r="Q448" s="21"/>
      <c r="R448" s="21"/>
    </row>
    <row r="449">
      <c r="Q449" s="21"/>
      <c r="R449" s="21"/>
    </row>
    <row r="450">
      <c r="Q450" s="21"/>
      <c r="R450" s="21"/>
    </row>
    <row r="451">
      <c r="Q451" s="21"/>
      <c r="R451" s="21"/>
    </row>
    <row r="452">
      <c r="Q452" s="21"/>
      <c r="R452" s="21"/>
    </row>
    <row r="453">
      <c r="Q453" s="21"/>
      <c r="R453" s="21"/>
    </row>
    <row r="454">
      <c r="Q454" s="21"/>
      <c r="R454" s="21"/>
    </row>
    <row r="455">
      <c r="Q455" s="21"/>
      <c r="R455" s="21"/>
    </row>
    <row r="456">
      <c r="Q456" s="21"/>
      <c r="R456" s="21"/>
    </row>
    <row r="457">
      <c r="Q457" s="21"/>
      <c r="R457" s="21"/>
    </row>
    <row r="458">
      <c r="Q458" s="21"/>
      <c r="R458" s="21"/>
    </row>
    <row r="459">
      <c r="Q459" s="21"/>
      <c r="R459" s="21"/>
    </row>
    <row r="460">
      <c r="Q460" s="21"/>
      <c r="R460" s="21"/>
    </row>
    <row r="461">
      <c r="Q461" s="21"/>
      <c r="R461" s="21"/>
    </row>
    <row r="462">
      <c r="Q462" s="21"/>
      <c r="R462" s="21"/>
    </row>
    <row r="463">
      <c r="Q463" s="21"/>
      <c r="R463" s="21"/>
    </row>
    <row r="464">
      <c r="Q464" s="21"/>
      <c r="R464" s="21"/>
    </row>
    <row r="465">
      <c r="Q465" s="21"/>
      <c r="R465" s="21"/>
    </row>
    <row r="466">
      <c r="Q466" s="21"/>
      <c r="R466" s="21"/>
    </row>
    <row r="467">
      <c r="Q467" s="21"/>
      <c r="R467" s="21"/>
    </row>
    <row r="468">
      <c r="Q468" s="21"/>
      <c r="R468" s="21"/>
    </row>
    <row r="469">
      <c r="Q469" s="21"/>
      <c r="R469" s="21"/>
    </row>
    <row r="470">
      <c r="Q470" s="21"/>
      <c r="R470" s="21"/>
    </row>
    <row r="471">
      <c r="Q471" s="21"/>
      <c r="R471" s="21"/>
    </row>
    <row r="472">
      <c r="Q472" s="21"/>
      <c r="R472" s="21"/>
    </row>
    <row r="473">
      <c r="Q473" s="21"/>
      <c r="R473" s="21"/>
    </row>
    <row r="474">
      <c r="Q474" s="21"/>
      <c r="R474" s="21"/>
    </row>
    <row r="475">
      <c r="Q475" s="21"/>
      <c r="R475" s="21"/>
    </row>
    <row r="476">
      <c r="Q476" s="21"/>
      <c r="R476" s="21"/>
    </row>
    <row r="477">
      <c r="Q477" s="21"/>
      <c r="R477" s="21"/>
    </row>
    <row r="478">
      <c r="Q478" s="21"/>
      <c r="R478" s="21"/>
    </row>
    <row r="479">
      <c r="Q479" s="21"/>
      <c r="R479" s="21"/>
    </row>
    <row r="480">
      <c r="Q480" s="21"/>
      <c r="R480" s="21"/>
    </row>
    <row r="481">
      <c r="Q481" s="21"/>
      <c r="R481" s="21"/>
    </row>
    <row r="482">
      <c r="Q482" s="21"/>
      <c r="R482" s="21"/>
    </row>
    <row r="483">
      <c r="Q483" s="21"/>
      <c r="R483" s="21"/>
    </row>
    <row r="484">
      <c r="Q484" s="21"/>
      <c r="R484" s="21"/>
    </row>
    <row r="485">
      <c r="Q485" s="21"/>
      <c r="R485" s="21"/>
    </row>
    <row r="486">
      <c r="Q486" s="21"/>
      <c r="R486" s="21"/>
    </row>
    <row r="487">
      <c r="Q487" s="21"/>
      <c r="R487" s="21"/>
    </row>
    <row r="488">
      <c r="Q488" s="21"/>
      <c r="R488" s="21"/>
    </row>
    <row r="489">
      <c r="Q489" s="21"/>
      <c r="R489" s="21"/>
    </row>
    <row r="490">
      <c r="Q490" s="21"/>
      <c r="R490" s="21"/>
    </row>
    <row r="491">
      <c r="Q491" s="21"/>
      <c r="R491" s="21"/>
    </row>
    <row r="492">
      <c r="Q492" s="21"/>
      <c r="R492" s="21"/>
    </row>
    <row r="493">
      <c r="Q493" s="21"/>
      <c r="R493" s="21"/>
    </row>
    <row r="494">
      <c r="Q494" s="21"/>
      <c r="R494" s="21"/>
    </row>
    <row r="495">
      <c r="Q495" s="21"/>
      <c r="R495" s="21"/>
    </row>
    <row r="496">
      <c r="Q496" s="21"/>
      <c r="R496" s="21"/>
    </row>
    <row r="497">
      <c r="Q497" s="21"/>
      <c r="R497" s="21"/>
    </row>
    <row r="498">
      <c r="Q498" s="21"/>
      <c r="R498" s="21"/>
    </row>
    <row r="499">
      <c r="Q499" s="21"/>
      <c r="R499" s="21"/>
    </row>
    <row r="500">
      <c r="Q500" s="21"/>
      <c r="R500" s="21"/>
    </row>
    <row r="501">
      <c r="Q501" s="21"/>
      <c r="R501" s="21"/>
    </row>
    <row r="502">
      <c r="Q502" s="21"/>
      <c r="R502" s="21"/>
    </row>
    <row r="503">
      <c r="Q503" s="21"/>
      <c r="R503" s="21"/>
    </row>
    <row r="504">
      <c r="Q504" s="21"/>
      <c r="R504" s="21"/>
    </row>
    <row r="505">
      <c r="Q505" s="21"/>
      <c r="R505" s="21"/>
    </row>
    <row r="506">
      <c r="Q506" s="21"/>
      <c r="R506" s="21"/>
    </row>
    <row r="507">
      <c r="Q507" s="21"/>
      <c r="R507" s="21"/>
    </row>
    <row r="508">
      <c r="Q508" s="21"/>
      <c r="R508" s="21"/>
    </row>
    <row r="509">
      <c r="Q509" s="21"/>
      <c r="R509" s="21"/>
    </row>
    <row r="510">
      <c r="Q510" s="21"/>
      <c r="R510" s="21"/>
    </row>
    <row r="511">
      <c r="Q511" s="21"/>
      <c r="R511" s="21"/>
    </row>
    <row r="512">
      <c r="Q512" s="21"/>
      <c r="R512" s="21"/>
    </row>
    <row r="513">
      <c r="Q513" s="21"/>
      <c r="R513" s="21"/>
    </row>
    <row r="514">
      <c r="Q514" s="21"/>
      <c r="R514" s="21"/>
    </row>
    <row r="515">
      <c r="Q515" s="21"/>
      <c r="R515" s="21"/>
    </row>
    <row r="516">
      <c r="Q516" s="21"/>
      <c r="R516" s="21"/>
    </row>
    <row r="517">
      <c r="Q517" s="21"/>
      <c r="R517" s="21"/>
    </row>
    <row r="518">
      <c r="Q518" s="21"/>
      <c r="R518" s="21"/>
    </row>
    <row r="519">
      <c r="Q519" s="21"/>
      <c r="R519" s="21"/>
    </row>
    <row r="520">
      <c r="Q520" s="21"/>
      <c r="R520" s="21"/>
    </row>
    <row r="521">
      <c r="Q521" s="21"/>
      <c r="R521" s="21"/>
    </row>
    <row r="522">
      <c r="Q522" s="21"/>
      <c r="R522" s="21"/>
    </row>
    <row r="523">
      <c r="Q523" s="21"/>
      <c r="R523" s="21"/>
    </row>
    <row r="524">
      <c r="Q524" s="21"/>
      <c r="R524" s="21"/>
    </row>
    <row r="525">
      <c r="Q525" s="21"/>
      <c r="R525" s="21"/>
    </row>
    <row r="526">
      <c r="Q526" s="21"/>
      <c r="R526" s="21"/>
    </row>
    <row r="527">
      <c r="Q527" s="21"/>
      <c r="R527" s="21"/>
    </row>
    <row r="528">
      <c r="Q528" s="21"/>
      <c r="R528" s="21"/>
    </row>
    <row r="529">
      <c r="Q529" s="21"/>
      <c r="R529" s="21"/>
    </row>
    <row r="530">
      <c r="Q530" s="21"/>
      <c r="R530" s="21"/>
    </row>
    <row r="531">
      <c r="Q531" s="21"/>
      <c r="R531" s="21"/>
    </row>
    <row r="532">
      <c r="Q532" s="21"/>
      <c r="R532" s="21"/>
    </row>
    <row r="533">
      <c r="Q533" s="21"/>
      <c r="R533" s="21"/>
    </row>
    <row r="534">
      <c r="Q534" s="21"/>
      <c r="R534" s="21"/>
    </row>
    <row r="535">
      <c r="Q535" s="21"/>
      <c r="R535" s="21"/>
    </row>
    <row r="536">
      <c r="Q536" s="21"/>
      <c r="R536" s="21"/>
    </row>
    <row r="537">
      <c r="Q537" s="21"/>
      <c r="R537" s="21"/>
    </row>
    <row r="538">
      <c r="Q538" s="21"/>
      <c r="R538" s="21"/>
    </row>
    <row r="539">
      <c r="Q539" s="21"/>
      <c r="R539" s="21"/>
    </row>
    <row r="540">
      <c r="Q540" s="21"/>
      <c r="R540" s="21"/>
    </row>
    <row r="541">
      <c r="Q541" s="21"/>
      <c r="R541" s="21"/>
    </row>
    <row r="542">
      <c r="Q542" s="21"/>
      <c r="R542" s="21"/>
    </row>
    <row r="543">
      <c r="Q543" s="21"/>
      <c r="R543" s="21"/>
    </row>
    <row r="544">
      <c r="Q544" s="21"/>
      <c r="R544" s="21"/>
    </row>
    <row r="545">
      <c r="Q545" s="21"/>
      <c r="R545" s="21"/>
    </row>
    <row r="546">
      <c r="Q546" s="21"/>
      <c r="R546" s="21"/>
    </row>
    <row r="547">
      <c r="Q547" s="21"/>
      <c r="R547" s="21"/>
    </row>
    <row r="548">
      <c r="Q548" s="21"/>
      <c r="R548" s="21"/>
    </row>
    <row r="549">
      <c r="Q549" s="21"/>
      <c r="R549" s="21"/>
    </row>
    <row r="550">
      <c r="Q550" s="21"/>
      <c r="R550" s="21"/>
    </row>
    <row r="551">
      <c r="Q551" s="21"/>
      <c r="R551" s="21"/>
    </row>
    <row r="552">
      <c r="Q552" s="21"/>
      <c r="R552" s="21"/>
    </row>
    <row r="553">
      <c r="Q553" s="21"/>
      <c r="R553" s="21"/>
    </row>
    <row r="554">
      <c r="Q554" s="21"/>
      <c r="R554" s="21"/>
    </row>
    <row r="555">
      <c r="Q555" s="21"/>
      <c r="R555" s="21"/>
    </row>
    <row r="556">
      <c r="Q556" s="21"/>
      <c r="R556" s="21"/>
    </row>
    <row r="557">
      <c r="Q557" s="21"/>
      <c r="R557" s="21"/>
    </row>
    <row r="558">
      <c r="Q558" s="21"/>
      <c r="R558" s="21"/>
    </row>
    <row r="559">
      <c r="Q559" s="21"/>
      <c r="R559" s="21"/>
    </row>
    <row r="560">
      <c r="Q560" s="21"/>
      <c r="R560" s="21"/>
    </row>
    <row r="561">
      <c r="Q561" s="21"/>
      <c r="R561" s="21"/>
    </row>
    <row r="562">
      <c r="Q562" s="21"/>
      <c r="R562" s="21"/>
    </row>
    <row r="563">
      <c r="Q563" s="21"/>
      <c r="R563" s="21"/>
    </row>
    <row r="564">
      <c r="Q564" s="21"/>
      <c r="R564" s="21"/>
    </row>
    <row r="565">
      <c r="Q565" s="21"/>
      <c r="R565" s="21"/>
    </row>
    <row r="566">
      <c r="Q566" s="21"/>
      <c r="R566" s="21"/>
    </row>
    <row r="567">
      <c r="Q567" s="21"/>
      <c r="R567" s="21"/>
    </row>
    <row r="568">
      <c r="Q568" s="21"/>
      <c r="R568" s="21"/>
    </row>
    <row r="569">
      <c r="Q569" s="21"/>
      <c r="R569" s="21"/>
    </row>
    <row r="570">
      <c r="Q570" s="21"/>
      <c r="R570" s="21"/>
    </row>
    <row r="571">
      <c r="Q571" s="21"/>
      <c r="R571" s="21"/>
    </row>
    <row r="572">
      <c r="Q572" s="21"/>
      <c r="R572" s="21"/>
    </row>
    <row r="573">
      <c r="Q573" s="21"/>
      <c r="R573" s="21"/>
    </row>
    <row r="574">
      <c r="Q574" s="21"/>
      <c r="R574" s="21"/>
    </row>
    <row r="575">
      <c r="Q575" s="21"/>
      <c r="R575" s="21"/>
    </row>
    <row r="576">
      <c r="Q576" s="21"/>
      <c r="R576" s="21"/>
    </row>
    <row r="577">
      <c r="Q577" s="21"/>
      <c r="R577" s="21"/>
    </row>
    <row r="578">
      <c r="Q578" s="21"/>
      <c r="R578" s="21"/>
    </row>
    <row r="579">
      <c r="Q579" s="21"/>
      <c r="R579" s="21"/>
    </row>
    <row r="580">
      <c r="Q580" s="21"/>
      <c r="R580" s="21"/>
    </row>
    <row r="581">
      <c r="Q581" s="21"/>
      <c r="R581" s="21"/>
    </row>
    <row r="582">
      <c r="Q582" s="21"/>
      <c r="R582" s="21"/>
    </row>
    <row r="583">
      <c r="Q583" s="21"/>
      <c r="R583" s="21"/>
    </row>
    <row r="584">
      <c r="Q584" s="21"/>
      <c r="R584" s="21"/>
    </row>
    <row r="585">
      <c r="Q585" s="21"/>
      <c r="R585" s="21"/>
    </row>
    <row r="586">
      <c r="Q586" s="21"/>
      <c r="R586" s="21"/>
    </row>
    <row r="587">
      <c r="Q587" s="21"/>
      <c r="R587" s="21"/>
    </row>
    <row r="588">
      <c r="Q588" s="21"/>
      <c r="R588" s="21"/>
    </row>
    <row r="589">
      <c r="Q589" s="21"/>
      <c r="R589" s="21"/>
    </row>
    <row r="590">
      <c r="Q590" s="21"/>
      <c r="R590" s="21"/>
    </row>
    <row r="591">
      <c r="Q591" s="21"/>
      <c r="R591" s="21"/>
    </row>
    <row r="592">
      <c r="Q592" s="21"/>
      <c r="R592" s="21"/>
    </row>
    <row r="593">
      <c r="Q593" s="21"/>
      <c r="R593" s="21"/>
    </row>
    <row r="594">
      <c r="Q594" s="21"/>
      <c r="R594" s="21"/>
    </row>
    <row r="595">
      <c r="Q595" s="21"/>
      <c r="R595" s="21"/>
    </row>
    <row r="596">
      <c r="Q596" s="21"/>
      <c r="R596" s="21"/>
    </row>
    <row r="597">
      <c r="Q597" s="21"/>
      <c r="R597" s="21"/>
    </row>
    <row r="598">
      <c r="Q598" s="21"/>
      <c r="R598" s="21"/>
    </row>
    <row r="599">
      <c r="Q599" s="21"/>
      <c r="R599" s="21"/>
    </row>
    <row r="600">
      <c r="Q600" s="21"/>
      <c r="R600" s="21"/>
    </row>
    <row r="601">
      <c r="Q601" s="21"/>
      <c r="R601" s="21"/>
    </row>
    <row r="602">
      <c r="Q602" s="21"/>
      <c r="R602" s="21"/>
    </row>
    <row r="603">
      <c r="Q603" s="21"/>
      <c r="R603" s="21"/>
    </row>
    <row r="604">
      <c r="Q604" s="21"/>
      <c r="R604" s="21"/>
    </row>
    <row r="605">
      <c r="Q605" s="21"/>
      <c r="R605" s="21"/>
    </row>
    <row r="606">
      <c r="Q606" s="21"/>
      <c r="R606" s="21"/>
    </row>
    <row r="607">
      <c r="Q607" s="21"/>
      <c r="R607" s="21"/>
    </row>
    <row r="608">
      <c r="Q608" s="21"/>
      <c r="R608" s="21"/>
    </row>
    <row r="609">
      <c r="Q609" s="21"/>
      <c r="R609" s="21"/>
    </row>
    <row r="610">
      <c r="Q610" s="21"/>
      <c r="R610" s="21"/>
    </row>
    <row r="611">
      <c r="Q611" s="21"/>
      <c r="R611" s="21"/>
    </row>
    <row r="612">
      <c r="Q612" s="21"/>
      <c r="R612" s="21"/>
    </row>
    <row r="613">
      <c r="Q613" s="21"/>
      <c r="R613" s="21"/>
    </row>
    <row r="614">
      <c r="Q614" s="21"/>
      <c r="R614" s="21"/>
    </row>
    <row r="615">
      <c r="Q615" s="21"/>
      <c r="R615" s="21"/>
    </row>
    <row r="616">
      <c r="Q616" s="21"/>
      <c r="R616" s="21"/>
    </row>
    <row r="617">
      <c r="Q617" s="21"/>
      <c r="R617" s="21"/>
    </row>
    <row r="618">
      <c r="Q618" s="21"/>
      <c r="R618" s="21"/>
    </row>
    <row r="619">
      <c r="Q619" s="21"/>
      <c r="R619" s="21"/>
    </row>
    <row r="620">
      <c r="Q620" s="21"/>
      <c r="R620" s="21"/>
    </row>
    <row r="621">
      <c r="Q621" s="21"/>
      <c r="R621" s="21"/>
    </row>
    <row r="622">
      <c r="Q622" s="21"/>
      <c r="R622" s="21"/>
    </row>
    <row r="623">
      <c r="Q623" s="21"/>
      <c r="R623" s="21"/>
    </row>
    <row r="624">
      <c r="Q624" s="21"/>
      <c r="R624" s="21"/>
    </row>
    <row r="625">
      <c r="Q625" s="21"/>
      <c r="R625" s="21"/>
    </row>
    <row r="626">
      <c r="Q626" s="21"/>
      <c r="R626" s="21"/>
    </row>
    <row r="627">
      <c r="Q627" s="21"/>
      <c r="R627" s="21"/>
    </row>
    <row r="628">
      <c r="Q628" s="21"/>
      <c r="R628" s="21"/>
    </row>
    <row r="629">
      <c r="Q629" s="21"/>
      <c r="R629" s="21"/>
    </row>
    <row r="630">
      <c r="Q630" s="21"/>
      <c r="R630" s="21"/>
    </row>
    <row r="631">
      <c r="Q631" s="21"/>
      <c r="R631" s="21"/>
    </row>
    <row r="632">
      <c r="Q632" s="21"/>
      <c r="R632" s="21"/>
    </row>
    <row r="633">
      <c r="Q633" s="21"/>
      <c r="R633" s="21"/>
    </row>
    <row r="634">
      <c r="Q634" s="21"/>
      <c r="R634" s="21"/>
    </row>
    <row r="635">
      <c r="Q635" s="21"/>
      <c r="R635" s="21"/>
    </row>
    <row r="636">
      <c r="Q636" s="21"/>
      <c r="R636" s="21"/>
    </row>
    <row r="637">
      <c r="Q637" s="21"/>
      <c r="R637" s="21"/>
    </row>
    <row r="638">
      <c r="Q638" s="21"/>
      <c r="R638" s="21"/>
    </row>
    <row r="639">
      <c r="Q639" s="21"/>
      <c r="R639" s="21"/>
    </row>
    <row r="640">
      <c r="Q640" s="21"/>
      <c r="R640" s="21"/>
    </row>
    <row r="641">
      <c r="Q641" s="21"/>
      <c r="R641" s="21"/>
    </row>
    <row r="642">
      <c r="Q642" s="21"/>
      <c r="R642" s="21"/>
    </row>
    <row r="643">
      <c r="Q643" s="21"/>
      <c r="R643" s="21"/>
    </row>
    <row r="644">
      <c r="Q644" s="21"/>
      <c r="R644" s="21"/>
    </row>
    <row r="645">
      <c r="Q645" s="21"/>
      <c r="R645" s="21"/>
    </row>
    <row r="646">
      <c r="Q646" s="21"/>
      <c r="R646" s="21"/>
    </row>
    <row r="647">
      <c r="Q647" s="21"/>
      <c r="R647" s="21"/>
    </row>
    <row r="648">
      <c r="Q648" s="21"/>
      <c r="R648" s="21"/>
    </row>
    <row r="649">
      <c r="Q649" s="21"/>
      <c r="R649" s="21"/>
    </row>
    <row r="650">
      <c r="Q650" s="21"/>
      <c r="R650" s="21"/>
    </row>
    <row r="651">
      <c r="Q651" s="21"/>
      <c r="R651" s="21"/>
    </row>
    <row r="652">
      <c r="Q652" s="21"/>
      <c r="R652" s="21"/>
    </row>
    <row r="653">
      <c r="Q653" s="21"/>
      <c r="R653" s="21"/>
    </row>
    <row r="654">
      <c r="Q654" s="21"/>
      <c r="R654" s="21"/>
    </row>
    <row r="655">
      <c r="Q655" s="21"/>
      <c r="R655" s="21"/>
    </row>
    <row r="656">
      <c r="Q656" s="21"/>
      <c r="R656" s="21"/>
    </row>
    <row r="657">
      <c r="Q657" s="21"/>
      <c r="R657" s="21"/>
    </row>
    <row r="658">
      <c r="Q658" s="21"/>
      <c r="R658" s="21"/>
    </row>
    <row r="659">
      <c r="Q659" s="21"/>
      <c r="R659" s="21"/>
    </row>
    <row r="660">
      <c r="Q660" s="21"/>
      <c r="R660" s="21"/>
    </row>
    <row r="661">
      <c r="Q661" s="21"/>
      <c r="R661" s="21"/>
    </row>
    <row r="662">
      <c r="Q662" s="21"/>
      <c r="R662" s="21"/>
    </row>
    <row r="663">
      <c r="Q663" s="21"/>
      <c r="R663" s="21"/>
    </row>
    <row r="664">
      <c r="Q664" s="21"/>
      <c r="R664" s="21"/>
    </row>
    <row r="665">
      <c r="Q665" s="21"/>
      <c r="R665" s="21"/>
    </row>
    <row r="666">
      <c r="Q666" s="21"/>
      <c r="R666" s="21"/>
    </row>
    <row r="667">
      <c r="Q667" s="21"/>
      <c r="R667" s="21"/>
    </row>
    <row r="668">
      <c r="Q668" s="21"/>
      <c r="R668" s="21"/>
    </row>
    <row r="669">
      <c r="Q669" s="21"/>
      <c r="R669" s="21"/>
    </row>
    <row r="670">
      <c r="Q670" s="21"/>
      <c r="R670" s="21"/>
    </row>
    <row r="671">
      <c r="Q671" s="21"/>
      <c r="R671" s="21"/>
    </row>
    <row r="672">
      <c r="Q672" s="21"/>
      <c r="R672" s="21"/>
    </row>
    <row r="673">
      <c r="Q673" s="21"/>
      <c r="R673" s="21"/>
    </row>
    <row r="674">
      <c r="Q674" s="21"/>
      <c r="R674" s="21"/>
    </row>
    <row r="675">
      <c r="Q675" s="21"/>
      <c r="R675" s="21"/>
    </row>
    <row r="676">
      <c r="Q676" s="21"/>
      <c r="R676" s="21"/>
    </row>
    <row r="677">
      <c r="Q677" s="21"/>
      <c r="R677" s="21"/>
    </row>
    <row r="678">
      <c r="Q678" s="21"/>
      <c r="R678" s="21"/>
    </row>
    <row r="679">
      <c r="Q679" s="21"/>
      <c r="R679" s="21"/>
    </row>
    <row r="680">
      <c r="Q680" s="21"/>
      <c r="R680" s="21"/>
    </row>
    <row r="681">
      <c r="Q681" s="21"/>
      <c r="R681" s="21"/>
    </row>
    <row r="682">
      <c r="Q682" s="21"/>
      <c r="R682" s="21"/>
    </row>
    <row r="683">
      <c r="Q683" s="21"/>
      <c r="R683" s="21"/>
    </row>
    <row r="684">
      <c r="Q684" s="21"/>
      <c r="R684" s="21"/>
    </row>
    <row r="685">
      <c r="Q685" s="21"/>
      <c r="R685" s="21"/>
    </row>
    <row r="686">
      <c r="Q686" s="21"/>
      <c r="R686" s="21"/>
    </row>
    <row r="687">
      <c r="Q687" s="21"/>
      <c r="R687" s="21"/>
    </row>
    <row r="688">
      <c r="Q688" s="21"/>
      <c r="R688" s="21"/>
    </row>
    <row r="689">
      <c r="Q689" s="21"/>
      <c r="R689" s="21"/>
    </row>
    <row r="690">
      <c r="Q690" s="21"/>
      <c r="R690" s="21"/>
    </row>
    <row r="691">
      <c r="Q691" s="21"/>
      <c r="R691" s="21"/>
    </row>
    <row r="692">
      <c r="Q692" s="21"/>
      <c r="R692" s="21"/>
    </row>
    <row r="693">
      <c r="Q693" s="21"/>
      <c r="R693" s="21"/>
    </row>
    <row r="694">
      <c r="Q694" s="21"/>
      <c r="R694" s="21"/>
    </row>
    <row r="695">
      <c r="Q695" s="21"/>
      <c r="R695" s="21"/>
    </row>
    <row r="696">
      <c r="Q696" s="21"/>
      <c r="R696" s="21"/>
    </row>
    <row r="697">
      <c r="Q697" s="21"/>
      <c r="R697" s="21"/>
    </row>
    <row r="698">
      <c r="Q698" s="21"/>
      <c r="R698" s="21"/>
    </row>
    <row r="699">
      <c r="Q699" s="21"/>
      <c r="R699" s="21"/>
    </row>
    <row r="700">
      <c r="Q700" s="21"/>
      <c r="R700" s="21"/>
    </row>
    <row r="701">
      <c r="Q701" s="21"/>
      <c r="R701" s="21"/>
    </row>
    <row r="702">
      <c r="Q702" s="21"/>
      <c r="R702" s="21"/>
    </row>
    <row r="703">
      <c r="Q703" s="21"/>
      <c r="R703" s="21"/>
    </row>
    <row r="704">
      <c r="Q704" s="21"/>
      <c r="R704" s="21"/>
    </row>
    <row r="705">
      <c r="Q705" s="21"/>
      <c r="R705" s="21"/>
    </row>
    <row r="706">
      <c r="Q706" s="21"/>
      <c r="R706" s="21"/>
    </row>
    <row r="707">
      <c r="Q707" s="21"/>
      <c r="R707" s="21"/>
    </row>
    <row r="708">
      <c r="Q708" s="21"/>
      <c r="R708" s="21"/>
    </row>
    <row r="709">
      <c r="Q709" s="21"/>
      <c r="R709" s="21"/>
    </row>
    <row r="710">
      <c r="Q710" s="21"/>
      <c r="R710" s="21"/>
    </row>
    <row r="711">
      <c r="Q711" s="21"/>
      <c r="R711" s="21"/>
    </row>
    <row r="712">
      <c r="Q712" s="21"/>
      <c r="R712" s="21"/>
    </row>
    <row r="713">
      <c r="Q713" s="21"/>
      <c r="R713" s="21"/>
    </row>
    <row r="714">
      <c r="Q714" s="21"/>
      <c r="R714" s="21"/>
    </row>
    <row r="715">
      <c r="Q715" s="21"/>
      <c r="R715" s="21"/>
    </row>
    <row r="716">
      <c r="Q716" s="21"/>
      <c r="R716" s="21"/>
    </row>
    <row r="717">
      <c r="Q717" s="21"/>
      <c r="R717" s="21"/>
    </row>
    <row r="718">
      <c r="Q718" s="21"/>
      <c r="R718" s="21"/>
    </row>
    <row r="719">
      <c r="Q719" s="21"/>
      <c r="R719" s="21"/>
    </row>
    <row r="720">
      <c r="Q720" s="21"/>
      <c r="R720" s="21"/>
    </row>
    <row r="721">
      <c r="Q721" s="21"/>
      <c r="R721" s="21"/>
    </row>
    <row r="722">
      <c r="Q722" s="21"/>
      <c r="R722" s="21"/>
    </row>
    <row r="723">
      <c r="Q723" s="21"/>
      <c r="R723" s="21"/>
    </row>
    <row r="724">
      <c r="Q724" s="21"/>
      <c r="R724" s="21"/>
    </row>
    <row r="725">
      <c r="Q725" s="21"/>
      <c r="R725" s="21"/>
    </row>
    <row r="726">
      <c r="Q726" s="21"/>
      <c r="R726" s="21"/>
    </row>
    <row r="727">
      <c r="Q727" s="21"/>
      <c r="R727" s="21"/>
    </row>
    <row r="728">
      <c r="Q728" s="21"/>
      <c r="R728" s="21"/>
    </row>
    <row r="729">
      <c r="Q729" s="21"/>
      <c r="R729" s="21"/>
    </row>
    <row r="730">
      <c r="Q730" s="21"/>
      <c r="R730" s="21"/>
    </row>
    <row r="731">
      <c r="Q731" s="21"/>
      <c r="R731" s="21"/>
    </row>
    <row r="732">
      <c r="Q732" s="21"/>
      <c r="R732" s="21"/>
    </row>
    <row r="733">
      <c r="Q733" s="21"/>
      <c r="R733" s="21"/>
    </row>
    <row r="734">
      <c r="Q734" s="21"/>
      <c r="R734" s="21"/>
    </row>
    <row r="735">
      <c r="Q735" s="21"/>
      <c r="R735" s="21"/>
    </row>
    <row r="736">
      <c r="Q736" s="21"/>
      <c r="R736" s="21"/>
    </row>
    <row r="737">
      <c r="Q737" s="21"/>
      <c r="R737" s="21"/>
    </row>
    <row r="738">
      <c r="Q738" s="21"/>
      <c r="R738" s="21"/>
    </row>
    <row r="739">
      <c r="Q739" s="21"/>
      <c r="R739" s="21"/>
    </row>
    <row r="740">
      <c r="Q740" s="21"/>
      <c r="R740" s="21"/>
    </row>
    <row r="741">
      <c r="Q741" s="21"/>
      <c r="R741" s="21"/>
    </row>
    <row r="742">
      <c r="Q742" s="21"/>
      <c r="R742" s="21"/>
    </row>
    <row r="743">
      <c r="Q743" s="21"/>
      <c r="R743" s="21"/>
    </row>
    <row r="744">
      <c r="Q744" s="21"/>
      <c r="R744" s="21"/>
    </row>
    <row r="745">
      <c r="Q745" s="21"/>
      <c r="R745" s="21"/>
    </row>
    <row r="746">
      <c r="Q746" s="21"/>
      <c r="R746" s="21"/>
    </row>
    <row r="747">
      <c r="Q747" s="21"/>
      <c r="R747" s="21"/>
    </row>
    <row r="748">
      <c r="Q748" s="21"/>
      <c r="R748" s="21"/>
    </row>
    <row r="749">
      <c r="Q749" s="21"/>
      <c r="R749" s="21"/>
    </row>
    <row r="750">
      <c r="Q750" s="21"/>
      <c r="R750" s="21"/>
    </row>
    <row r="751">
      <c r="Q751" s="21"/>
      <c r="R751" s="21"/>
    </row>
    <row r="752">
      <c r="Q752" s="21"/>
      <c r="R752" s="21"/>
    </row>
    <row r="753">
      <c r="Q753" s="21"/>
      <c r="R753" s="21"/>
    </row>
    <row r="754">
      <c r="Q754" s="21"/>
      <c r="R754" s="21"/>
    </row>
    <row r="755">
      <c r="Q755" s="21"/>
      <c r="R755" s="21"/>
    </row>
    <row r="756">
      <c r="Q756" s="21"/>
      <c r="R756" s="21"/>
    </row>
    <row r="757">
      <c r="Q757" s="21"/>
      <c r="R757" s="21"/>
    </row>
    <row r="758">
      <c r="Q758" s="21"/>
      <c r="R758" s="21"/>
    </row>
    <row r="759">
      <c r="Q759" s="21"/>
      <c r="R759" s="21"/>
    </row>
    <row r="760">
      <c r="Q760" s="21"/>
      <c r="R760" s="21"/>
    </row>
    <row r="761">
      <c r="Q761" s="21"/>
      <c r="R761" s="21"/>
    </row>
    <row r="762">
      <c r="Q762" s="21"/>
      <c r="R762" s="21"/>
    </row>
    <row r="763">
      <c r="Q763" s="21"/>
      <c r="R763" s="21"/>
    </row>
    <row r="764">
      <c r="Q764" s="21"/>
      <c r="R764" s="21"/>
    </row>
    <row r="765">
      <c r="Q765" s="21"/>
      <c r="R765" s="21"/>
    </row>
    <row r="766">
      <c r="Q766" s="21"/>
      <c r="R766" s="21"/>
    </row>
    <row r="767">
      <c r="Q767" s="21"/>
      <c r="R767" s="21"/>
    </row>
    <row r="768">
      <c r="Q768" s="21"/>
      <c r="R768" s="21"/>
    </row>
    <row r="769">
      <c r="Q769" s="21"/>
      <c r="R769" s="21"/>
    </row>
    <row r="770">
      <c r="Q770" s="21"/>
      <c r="R770" s="21"/>
    </row>
    <row r="771">
      <c r="Q771" s="21"/>
      <c r="R771" s="21"/>
    </row>
    <row r="772">
      <c r="Q772" s="21"/>
      <c r="R772" s="21"/>
    </row>
    <row r="773">
      <c r="Q773" s="21"/>
      <c r="R773" s="21"/>
    </row>
    <row r="774">
      <c r="Q774" s="21"/>
      <c r="R774" s="21"/>
    </row>
    <row r="775">
      <c r="Q775" s="21"/>
      <c r="R775" s="21"/>
    </row>
    <row r="776">
      <c r="Q776" s="21"/>
      <c r="R776" s="21"/>
    </row>
    <row r="777">
      <c r="Q777" s="21"/>
      <c r="R777" s="21"/>
    </row>
    <row r="778">
      <c r="Q778" s="21"/>
      <c r="R778" s="21"/>
    </row>
    <row r="779">
      <c r="Q779" s="21"/>
      <c r="R779" s="21"/>
    </row>
    <row r="780">
      <c r="Q780" s="21"/>
      <c r="R780" s="21"/>
    </row>
    <row r="781">
      <c r="Q781" s="21"/>
      <c r="R781" s="21"/>
    </row>
    <row r="782">
      <c r="Q782" s="21"/>
      <c r="R782" s="21"/>
    </row>
    <row r="783">
      <c r="Q783" s="21"/>
      <c r="R783" s="21"/>
    </row>
    <row r="784">
      <c r="Q784" s="21"/>
      <c r="R784" s="21"/>
    </row>
    <row r="785">
      <c r="Q785" s="21"/>
      <c r="R785" s="21"/>
    </row>
    <row r="786">
      <c r="Q786" s="21"/>
      <c r="R786" s="21"/>
    </row>
    <row r="787">
      <c r="Q787" s="21"/>
      <c r="R787" s="21"/>
    </row>
    <row r="788">
      <c r="Q788" s="21"/>
      <c r="R788" s="21"/>
    </row>
    <row r="789">
      <c r="Q789" s="21"/>
      <c r="R789" s="21"/>
    </row>
    <row r="790">
      <c r="Q790" s="21"/>
      <c r="R790" s="21"/>
    </row>
    <row r="791">
      <c r="Q791" s="21"/>
      <c r="R791" s="21"/>
    </row>
    <row r="792">
      <c r="Q792" s="21"/>
      <c r="R792" s="21"/>
    </row>
    <row r="793">
      <c r="Q793" s="21"/>
      <c r="R793" s="21"/>
    </row>
    <row r="794">
      <c r="Q794" s="21"/>
      <c r="R794" s="21"/>
    </row>
    <row r="795">
      <c r="Q795" s="21"/>
      <c r="R795" s="21"/>
    </row>
    <row r="796">
      <c r="Q796" s="21"/>
      <c r="R796" s="21"/>
    </row>
    <row r="797">
      <c r="Q797" s="21"/>
      <c r="R797" s="21"/>
    </row>
    <row r="798">
      <c r="Q798" s="21"/>
      <c r="R798" s="21"/>
    </row>
    <row r="799">
      <c r="Q799" s="21"/>
      <c r="R799" s="21"/>
    </row>
    <row r="800">
      <c r="Q800" s="21"/>
      <c r="R800" s="21"/>
    </row>
    <row r="801">
      <c r="Q801" s="21"/>
      <c r="R801" s="21"/>
    </row>
    <row r="802">
      <c r="Q802" s="21"/>
      <c r="R802" s="21"/>
    </row>
    <row r="803">
      <c r="Q803" s="21"/>
      <c r="R803" s="21"/>
    </row>
    <row r="804">
      <c r="Q804" s="21"/>
      <c r="R804" s="21"/>
    </row>
    <row r="805">
      <c r="Q805" s="21"/>
      <c r="R805" s="21"/>
    </row>
    <row r="806">
      <c r="Q806" s="21"/>
      <c r="R806" s="21"/>
    </row>
    <row r="807">
      <c r="Q807" s="21"/>
      <c r="R807" s="21"/>
    </row>
    <row r="808">
      <c r="Q808" s="21"/>
      <c r="R808" s="21"/>
    </row>
    <row r="809">
      <c r="Q809" s="21"/>
      <c r="R809" s="21"/>
    </row>
    <row r="810">
      <c r="Q810" s="21"/>
      <c r="R810" s="21"/>
    </row>
    <row r="811">
      <c r="Q811" s="21"/>
      <c r="R811" s="21"/>
    </row>
    <row r="812">
      <c r="Q812" s="21"/>
      <c r="R812" s="21"/>
    </row>
    <row r="813">
      <c r="Q813" s="21"/>
      <c r="R813" s="21"/>
    </row>
    <row r="814">
      <c r="Q814" s="21"/>
      <c r="R814" s="21"/>
    </row>
    <row r="815">
      <c r="Q815" s="21"/>
      <c r="R815" s="21"/>
    </row>
    <row r="816">
      <c r="Q816" s="21"/>
      <c r="R816" s="21"/>
    </row>
    <row r="817">
      <c r="Q817" s="21"/>
      <c r="R817" s="21"/>
    </row>
    <row r="818">
      <c r="Q818" s="21"/>
      <c r="R818" s="21"/>
    </row>
    <row r="819">
      <c r="Q819" s="21"/>
      <c r="R819" s="21"/>
    </row>
    <row r="820">
      <c r="Q820" s="21"/>
      <c r="R820" s="21"/>
    </row>
    <row r="821">
      <c r="Q821" s="21"/>
      <c r="R821" s="21"/>
    </row>
    <row r="822">
      <c r="Q822" s="21"/>
      <c r="R822" s="21"/>
    </row>
    <row r="823">
      <c r="Q823" s="21"/>
      <c r="R823" s="21"/>
    </row>
    <row r="824">
      <c r="Q824" s="21"/>
      <c r="R824" s="21"/>
    </row>
    <row r="825">
      <c r="Q825" s="21"/>
      <c r="R825" s="21"/>
    </row>
    <row r="826">
      <c r="Q826" s="21"/>
      <c r="R826" s="21"/>
    </row>
    <row r="827">
      <c r="Q827" s="21"/>
      <c r="R827" s="21"/>
    </row>
    <row r="828">
      <c r="Q828" s="21"/>
      <c r="R828" s="21"/>
    </row>
    <row r="829">
      <c r="Q829" s="21"/>
      <c r="R829" s="21"/>
    </row>
    <row r="830">
      <c r="Q830" s="21"/>
      <c r="R830" s="21"/>
    </row>
    <row r="831">
      <c r="Q831" s="21"/>
      <c r="R831" s="21"/>
    </row>
    <row r="832">
      <c r="Q832" s="21"/>
      <c r="R832" s="21"/>
    </row>
    <row r="833">
      <c r="Q833" s="21"/>
      <c r="R833" s="21"/>
    </row>
    <row r="834">
      <c r="Q834" s="21"/>
      <c r="R834" s="21"/>
    </row>
    <row r="835">
      <c r="Q835" s="21"/>
      <c r="R835" s="21"/>
    </row>
    <row r="836">
      <c r="Q836" s="21"/>
      <c r="R836" s="21"/>
    </row>
    <row r="837">
      <c r="Q837" s="21"/>
      <c r="R837" s="21"/>
    </row>
    <row r="838">
      <c r="Q838" s="21"/>
      <c r="R838" s="21"/>
    </row>
    <row r="839">
      <c r="Q839" s="21"/>
      <c r="R839" s="21"/>
    </row>
    <row r="840">
      <c r="Q840" s="21"/>
      <c r="R840" s="21"/>
    </row>
    <row r="841">
      <c r="Q841" s="21"/>
      <c r="R841" s="21"/>
    </row>
    <row r="842">
      <c r="Q842" s="21"/>
      <c r="R842" s="21"/>
    </row>
    <row r="843">
      <c r="Q843" s="21"/>
      <c r="R843" s="21"/>
    </row>
    <row r="844">
      <c r="Q844" s="21"/>
      <c r="R844" s="21"/>
    </row>
    <row r="845">
      <c r="Q845" s="21"/>
      <c r="R845" s="21"/>
    </row>
    <row r="846">
      <c r="Q846" s="21"/>
      <c r="R846" s="21"/>
    </row>
    <row r="847">
      <c r="Q847" s="21"/>
      <c r="R847" s="21"/>
    </row>
    <row r="848">
      <c r="Q848" s="21"/>
      <c r="R848" s="21"/>
    </row>
    <row r="849">
      <c r="Q849" s="21"/>
      <c r="R849" s="21"/>
    </row>
    <row r="850">
      <c r="Q850" s="21"/>
      <c r="R850" s="21"/>
    </row>
    <row r="851">
      <c r="Q851" s="21"/>
      <c r="R851" s="21"/>
    </row>
    <row r="852">
      <c r="Q852" s="21"/>
      <c r="R852" s="21"/>
    </row>
    <row r="853">
      <c r="Q853" s="21"/>
      <c r="R853" s="21"/>
    </row>
    <row r="854">
      <c r="Q854" s="21"/>
      <c r="R854" s="21"/>
    </row>
    <row r="855">
      <c r="Q855" s="21"/>
      <c r="R855" s="21"/>
    </row>
    <row r="856">
      <c r="Q856" s="21"/>
      <c r="R856" s="21"/>
    </row>
    <row r="857">
      <c r="Q857" s="21"/>
      <c r="R857" s="21"/>
    </row>
    <row r="858">
      <c r="Q858" s="21"/>
      <c r="R858" s="21"/>
    </row>
    <row r="859">
      <c r="Q859" s="21"/>
      <c r="R859" s="21"/>
    </row>
    <row r="860">
      <c r="Q860" s="21"/>
      <c r="R860" s="21"/>
    </row>
    <row r="861">
      <c r="Q861" s="21"/>
      <c r="R861" s="21"/>
    </row>
    <row r="862">
      <c r="Q862" s="21"/>
      <c r="R862" s="21"/>
    </row>
    <row r="863">
      <c r="Q863" s="21"/>
      <c r="R863" s="21"/>
    </row>
    <row r="864">
      <c r="Q864" s="21"/>
      <c r="R864" s="21"/>
    </row>
    <row r="865">
      <c r="Q865" s="21"/>
      <c r="R865" s="21"/>
    </row>
    <row r="866">
      <c r="Q866" s="21"/>
      <c r="R866" s="21"/>
    </row>
    <row r="867">
      <c r="Q867" s="21"/>
      <c r="R867" s="21"/>
    </row>
    <row r="868">
      <c r="Q868" s="21"/>
      <c r="R868" s="21"/>
    </row>
    <row r="869">
      <c r="Q869" s="21"/>
      <c r="R869" s="21"/>
    </row>
    <row r="870">
      <c r="Q870" s="21"/>
      <c r="R870" s="21"/>
    </row>
    <row r="871">
      <c r="Q871" s="21"/>
      <c r="R871" s="21"/>
    </row>
    <row r="872">
      <c r="Q872" s="21"/>
      <c r="R872" s="21"/>
    </row>
    <row r="873">
      <c r="Q873" s="21"/>
      <c r="R873" s="21"/>
    </row>
    <row r="874">
      <c r="Q874" s="21"/>
      <c r="R874" s="21"/>
    </row>
    <row r="875">
      <c r="Q875" s="21"/>
      <c r="R875" s="21"/>
    </row>
    <row r="876">
      <c r="Q876" s="21"/>
      <c r="R876" s="21"/>
    </row>
    <row r="877">
      <c r="Q877" s="21"/>
      <c r="R877" s="21"/>
    </row>
    <row r="878">
      <c r="Q878" s="21"/>
      <c r="R878" s="21"/>
    </row>
    <row r="879">
      <c r="Q879" s="21"/>
      <c r="R879" s="21"/>
    </row>
    <row r="880">
      <c r="Q880" s="21"/>
      <c r="R880" s="21"/>
    </row>
    <row r="881">
      <c r="Q881" s="21"/>
      <c r="R881" s="21"/>
    </row>
    <row r="882">
      <c r="Q882" s="21"/>
      <c r="R882" s="21"/>
    </row>
    <row r="883">
      <c r="Q883" s="21"/>
      <c r="R883" s="21"/>
    </row>
    <row r="884">
      <c r="Q884" s="21"/>
      <c r="R884" s="21"/>
    </row>
    <row r="885">
      <c r="Q885" s="21"/>
      <c r="R885" s="21"/>
    </row>
    <row r="886">
      <c r="Q886" s="21"/>
      <c r="R886" s="21"/>
    </row>
    <row r="887">
      <c r="Q887" s="21"/>
      <c r="R887" s="21"/>
    </row>
    <row r="888">
      <c r="Q888" s="21"/>
      <c r="R888" s="21"/>
    </row>
    <row r="889">
      <c r="Q889" s="21"/>
      <c r="R889" s="21"/>
    </row>
    <row r="890">
      <c r="Q890" s="21"/>
      <c r="R890" s="21"/>
    </row>
    <row r="891">
      <c r="Q891" s="21"/>
      <c r="R891" s="21"/>
    </row>
    <row r="892">
      <c r="Q892" s="21"/>
      <c r="R892" s="21"/>
    </row>
    <row r="893">
      <c r="Q893" s="21"/>
      <c r="R893" s="21"/>
    </row>
    <row r="894">
      <c r="Q894" s="21"/>
      <c r="R894" s="21"/>
    </row>
    <row r="895">
      <c r="Q895" s="21"/>
      <c r="R895" s="21"/>
    </row>
    <row r="896">
      <c r="Q896" s="21"/>
      <c r="R896" s="21"/>
    </row>
    <row r="897">
      <c r="Q897" s="21"/>
      <c r="R897" s="21"/>
    </row>
    <row r="898">
      <c r="Q898" s="21"/>
      <c r="R898" s="21"/>
    </row>
    <row r="899">
      <c r="Q899" s="21"/>
      <c r="R899" s="21"/>
    </row>
    <row r="900">
      <c r="Q900" s="21"/>
      <c r="R900" s="21"/>
    </row>
    <row r="901">
      <c r="Q901" s="21"/>
      <c r="R901" s="21"/>
    </row>
    <row r="902">
      <c r="Q902" s="21"/>
      <c r="R902" s="21"/>
    </row>
    <row r="903">
      <c r="Q903" s="21"/>
      <c r="R903" s="21"/>
    </row>
    <row r="904">
      <c r="Q904" s="21"/>
      <c r="R904" s="21"/>
    </row>
    <row r="905">
      <c r="Q905" s="21"/>
      <c r="R905" s="21"/>
    </row>
    <row r="906">
      <c r="Q906" s="21"/>
      <c r="R906" s="21"/>
    </row>
    <row r="907">
      <c r="Q907" s="21"/>
      <c r="R907" s="21"/>
    </row>
    <row r="908">
      <c r="Q908" s="21"/>
      <c r="R908" s="21"/>
    </row>
    <row r="909">
      <c r="Q909" s="21"/>
      <c r="R909" s="21"/>
    </row>
    <row r="910">
      <c r="Q910" s="21"/>
      <c r="R910" s="21"/>
    </row>
    <row r="911">
      <c r="Q911" s="21"/>
      <c r="R911" s="21"/>
    </row>
    <row r="912">
      <c r="Q912" s="21"/>
      <c r="R912" s="21"/>
    </row>
    <row r="913">
      <c r="Q913" s="21"/>
      <c r="R913" s="21"/>
    </row>
    <row r="914">
      <c r="Q914" s="21"/>
      <c r="R914" s="21"/>
    </row>
    <row r="915">
      <c r="Q915" s="21"/>
      <c r="R915" s="21"/>
    </row>
    <row r="916">
      <c r="Q916" s="21"/>
      <c r="R916" s="21"/>
    </row>
    <row r="917">
      <c r="Q917" s="21"/>
      <c r="R917" s="21"/>
    </row>
    <row r="918">
      <c r="Q918" s="21"/>
      <c r="R918" s="21"/>
    </row>
    <row r="919">
      <c r="Q919" s="21"/>
      <c r="R919" s="21"/>
    </row>
    <row r="920">
      <c r="Q920" s="21"/>
      <c r="R920" s="21"/>
    </row>
    <row r="921">
      <c r="Q921" s="21"/>
      <c r="R921" s="21"/>
    </row>
    <row r="922">
      <c r="Q922" s="21"/>
      <c r="R922" s="21"/>
    </row>
    <row r="923">
      <c r="Q923" s="21"/>
      <c r="R923" s="21"/>
    </row>
    <row r="924">
      <c r="Q924" s="21"/>
      <c r="R924" s="21"/>
    </row>
    <row r="925">
      <c r="Q925" s="21"/>
      <c r="R925" s="21"/>
    </row>
    <row r="926">
      <c r="Q926" s="21"/>
      <c r="R926" s="21"/>
    </row>
    <row r="927">
      <c r="Q927" s="21"/>
      <c r="R927" s="21"/>
    </row>
    <row r="928">
      <c r="Q928" s="21"/>
      <c r="R928" s="21"/>
    </row>
    <row r="929">
      <c r="Q929" s="21"/>
      <c r="R929" s="21"/>
    </row>
    <row r="930">
      <c r="Q930" s="21"/>
      <c r="R930" s="21"/>
    </row>
    <row r="931">
      <c r="Q931" s="21"/>
      <c r="R931" s="21"/>
    </row>
    <row r="932">
      <c r="Q932" s="21"/>
      <c r="R932" s="21"/>
    </row>
    <row r="933">
      <c r="Q933" s="21"/>
      <c r="R933" s="21"/>
    </row>
    <row r="934">
      <c r="Q934" s="21"/>
      <c r="R934" s="21"/>
    </row>
    <row r="935">
      <c r="Q935" s="21"/>
      <c r="R935" s="21"/>
    </row>
    <row r="936">
      <c r="Q936" s="21"/>
      <c r="R936" s="21"/>
    </row>
    <row r="937">
      <c r="Q937" s="21"/>
      <c r="R937" s="21"/>
    </row>
    <row r="938">
      <c r="Q938" s="21"/>
      <c r="R938" s="21"/>
    </row>
    <row r="939">
      <c r="Q939" s="21"/>
      <c r="R939" s="21"/>
    </row>
    <row r="940">
      <c r="Q940" s="21"/>
      <c r="R940" s="21"/>
    </row>
    <row r="941">
      <c r="Q941" s="21"/>
      <c r="R941" s="21"/>
    </row>
    <row r="942">
      <c r="Q942" s="21"/>
      <c r="R942" s="21"/>
    </row>
    <row r="943">
      <c r="Q943" s="21"/>
      <c r="R943" s="21"/>
    </row>
    <row r="944">
      <c r="Q944" s="21"/>
      <c r="R944" s="21"/>
    </row>
    <row r="945">
      <c r="Q945" s="21"/>
      <c r="R945" s="21"/>
    </row>
    <row r="946">
      <c r="Q946" s="21"/>
      <c r="R946" s="21"/>
    </row>
    <row r="947">
      <c r="Q947" s="21"/>
      <c r="R947" s="21"/>
    </row>
    <row r="948">
      <c r="Q948" s="21"/>
      <c r="R948" s="21"/>
    </row>
    <row r="949">
      <c r="Q949" s="21"/>
      <c r="R949" s="21"/>
    </row>
    <row r="950">
      <c r="Q950" s="21"/>
      <c r="R950" s="21"/>
    </row>
    <row r="951">
      <c r="Q951" s="21"/>
      <c r="R951" s="21"/>
    </row>
    <row r="952">
      <c r="Q952" s="21"/>
      <c r="R952" s="21"/>
    </row>
    <row r="953">
      <c r="Q953" s="21"/>
      <c r="R953" s="21"/>
    </row>
    <row r="954">
      <c r="Q954" s="21"/>
      <c r="R954" s="21"/>
    </row>
    <row r="955">
      <c r="Q955" s="21"/>
      <c r="R955" s="21"/>
    </row>
    <row r="956">
      <c r="Q956" s="21"/>
      <c r="R956" s="21"/>
    </row>
    <row r="957">
      <c r="Q957" s="21"/>
      <c r="R957" s="21"/>
    </row>
    <row r="958">
      <c r="Q958" s="21"/>
      <c r="R958" s="21"/>
    </row>
    <row r="959">
      <c r="Q959" s="21"/>
      <c r="R959" s="21"/>
    </row>
    <row r="960">
      <c r="Q960" s="21"/>
      <c r="R960" s="21"/>
    </row>
    <row r="961">
      <c r="Q961" s="21"/>
      <c r="R961" s="21"/>
    </row>
    <row r="962">
      <c r="Q962" s="21"/>
      <c r="R962" s="21"/>
    </row>
    <row r="963">
      <c r="Q963" s="21"/>
      <c r="R963" s="21"/>
    </row>
    <row r="964">
      <c r="Q964" s="21"/>
      <c r="R964" s="21"/>
    </row>
    <row r="965">
      <c r="Q965" s="21"/>
      <c r="R965" s="21"/>
    </row>
    <row r="966">
      <c r="Q966" s="21"/>
      <c r="R966" s="21"/>
    </row>
    <row r="967">
      <c r="Q967" s="21"/>
      <c r="R967" s="21"/>
    </row>
    <row r="968">
      <c r="Q968" s="21"/>
      <c r="R968" s="21"/>
    </row>
    <row r="969">
      <c r="Q969" s="21"/>
      <c r="R969" s="21"/>
    </row>
    <row r="970">
      <c r="Q970" s="21"/>
      <c r="R970" s="21"/>
    </row>
    <row r="971">
      <c r="Q971" s="21"/>
      <c r="R971" s="21"/>
    </row>
    <row r="972">
      <c r="Q972" s="21"/>
      <c r="R972" s="21"/>
    </row>
    <row r="973">
      <c r="Q973" s="21"/>
      <c r="R973" s="21"/>
    </row>
    <row r="974">
      <c r="Q974" s="21"/>
      <c r="R974" s="21"/>
    </row>
    <row r="975">
      <c r="Q975" s="21"/>
      <c r="R975" s="21"/>
    </row>
    <row r="976">
      <c r="Q976" s="21"/>
      <c r="R976" s="21"/>
    </row>
    <row r="977">
      <c r="Q977" s="21"/>
      <c r="R977" s="21"/>
    </row>
    <row r="978">
      <c r="Q978" s="21"/>
      <c r="R978" s="21"/>
    </row>
    <row r="979">
      <c r="Q979" s="21"/>
      <c r="R979" s="21"/>
    </row>
    <row r="980">
      <c r="Q980" s="21"/>
      <c r="R980" s="21"/>
    </row>
    <row r="981">
      <c r="Q981" s="21"/>
      <c r="R981" s="21"/>
    </row>
    <row r="982">
      <c r="Q982" s="21"/>
      <c r="R982" s="21"/>
    </row>
    <row r="983">
      <c r="Q983" s="21"/>
      <c r="R983" s="21"/>
    </row>
    <row r="984">
      <c r="Q984" s="21"/>
      <c r="R984" s="21"/>
    </row>
    <row r="985">
      <c r="Q985" s="21"/>
      <c r="R985" s="21"/>
    </row>
    <row r="986">
      <c r="Q986" s="21"/>
      <c r="R986" s="21"/>
    </row>
    <row r="987">
      <c r="Q987" s="21"/>
      <c r="R987" s="21"/>
    </row>
    <row r="988">
      <c r="Q988" s="21"/>
      <c r="R988" s="21"/>
    </row>
    <row r="989">
      <c r="Q989" s="21"/>
      <c r="R989" s="21"/>
    </row>
    <row r="990">
      <c r="Q990" s="21"/>
      <c r="R990" s="21"/>
    </row>
    <row r="991">
      <c r="Q991" s="21"/>
      <c r="R991" s="21"/>
    </row>
    <row r="992">
      <c r="Q992" s="21"/>
      <c r="R992" s="21"/>
    </row>
    <row r="993">
      <c r="Q993" s="21"/>
      <c r="R993" s="21"/>
    </row>
    <row r="994">
      <c r="Q994" s="21"/>
      <c r="R994" s="21"/>
    </row>
    <row r="995">
      <c r="Q995" s="21"/>
      <c r="R995" s="21"/>
    </row>
    <row r="996">
      <c r="Q996" s="21"/>
      <c r="R996" s="21"/>
    </row>
    <row r="997">
      <c r="Q997" s="21"/>
      <c r="R997" s="21"/>
    </row>
    <row r="998">
      <c r="Q998" s="21"/>
      <c r="R998" s="21"/>
    </row>
    <row r="999">
      <c r="Q999" s="21"/>
      <c r="R999" s="21"/>
    </row>
    <row r="1000">
      <c r="Q1000" s="21"/>
      <c r="R1000" s="21"/>
    </row>
  </sheetData>
  <autoFilter ref="$P$25:$T$45"/>
  <conditionalFormatting sqref="R26:T47">
    <cfRule type="cellIs" dxfId="3" priority="1" operator="equal">
      <formula>"Bloquant"</formula>
    </cfRule>
  </conditionalFormatting>
  <conditionalFormatting sqref="R26:T47">
    <cfRule type="cellIs" dxfId="4" priority="2" operator="equal">
      <formula>"Majeur"</formula>
    </cfRule>
  </conditionalFormatting>
  <conditionalFormatting sqref="R26:T47">
    <cfRule type="cellIs" dxfId="5" priority="3" operator="equal">
      <formula>"Mineur"</formula>
    </cfRule>
  </conditionalFormatting>
  <conditionalFormatting sqref="Q26:Q47">
    <cfRule type="cellIs" dxfId="0" priority="4" operator="equal">
      <formula>"P1"</formula>
    </cfRule>
  </conditionalFormatting>
  <conditionalFormatting sqref="Q26:Q47">
    <cfRule type="cellIs" dxfId="1" priority="5" operator="equal">
      <formula>"P2"</formula>
    </cfRule>
  </conditionalFormatting>
  <conditionalFormatting sqref="Q26:Q47">
    <cfRule type="cellIs" dxfId="2" priority="6" operator="equal">
      <formula>"P3"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43"/>
    <col customWidth="1" min="2" max="2" width="11.29"/>
    <col customWidth="1" min="3" max="3" width="11.57"/>
    <col customWidth="1" min="4" max="11" width="12.0"/>
    <col customWidth="1" min="12" max="12" width="11.57"/>
    <col customWidth="1" min="13" max="13" width="11.14"/>
    <col customWidth="1" min="14" max="21" width="11.57"/>
    <col customWidth="1" min="22" max="22" width="12.0"/>
    <col customWidth="1" min="23" max="23" width="11.57"/>
    <col customWidth="1" min="24" max="32" width="12.0"/>
    <col customWidth="1" min="33" max="33" width="11.57"/>
    <col customWidth="1" min="34" max="41" width="12.0"/>
    <col customWidth="1" min="42" max="42" width="11.57"/>
    <col customWidth="1" min="43" max="43" width="11.14"/>
    <col customWidth="1" min="44" max="51" width="11.57"/>
    <col customWidth="1" min="52" max="52" width="12.0"/>
    <col customWidth="1" min="53" max="53" width="11.57"/>
    <col customWidth="1" min="54" max="62" width="12.0"/>
    <col customWidth="1" min="63" max="64" width="11.57"/>
    <col customWidth="1" min="65" max="72" width="12.0"/>
    <col customWidth="1" min="73" max="73" width="11.57"/>
    <col customWidth="1" min="74" max="74" width="11.14"/>
    <col customWidth="1" min="75" max="82" width="11.57"/>
    <col customWidth="1" min="83" max="83" width="12.0"/>
    <col customWidth="1" min="84" max="84" width="11.57"/>
    <col customWidth="1" min="85" max="93" width="12.0"/>
    <col customWidth="1" min="94" max="95" width="11.57"/>
    <col customWidth="1" min="96" max="103" width="12.0"/>
    <col customWidth="1" min="104" max="104" width="11.57"/>
    <col customWidth="1" min="105" max="105" width="11.14"/>
    <col customWidth="1" min="106" max="113" width="11.57"/>
    <col customWidth="1" min="114" max="114" width="12.0"/>
    <col customWidth="1" min="115" max="115" width="11.57"/>
    <col customWidth="1" min="116" max="124" width="12.0"/>
    <col customWidth="1" min="125" max="125" width="11.14"/>
    <col customWidth="1" min="126" max="133" width="11.57"/>
    <col customWidth="1" min="134" max="134" width="11.14"/>
    <col customWidth="1" min="135" max="135" width="10.71"/>
    <col customWidth="1" min="136" max="143" width="11.14"/>
    <col customWidth="1" min="144" max="144" width="11.57"/>
    <col customWidth="1" min="145" max="145" width="11.14"/>
    <col customWidth="1" min="146" max="154" width="11.57"/>
    <col customWidth="1" min="155" max="155" width="11.14"/>
    <col customWidth="1" min="156" max="156" width="10.71"/>
    <col customWidth="1" min="157" max="164" width="11.14"/>
    <col customWidth="1" min="165" max="174" width="10.71"/>
    <col customWidth="1" min="175" max="175" width="11.14"/>
    <col customWidth="1" min="176" max="176" width="10.71"/>
    <col customWidth="1" min="177" max="186" width="11.14"/>
    <col customWidth="1" min="187" max="194" width="11.57"/>
    <col customWidth="1" min="195" max="195" width="11.14"/>
    <col customWidth="1" min="196" max="196" width="10.71"/>
    <col customWidth="1" min="197" max="204" width="11.14"/>
    <col customWidth="1" min="205" max="205" width="11.57"/>
    <col customWidth="1" min="206" max="206" width="11.14"/>
    <col customWidth="1" min="207" max="215" width="11.57"/>
    <col customWidth="1" min="216" max="217" width="11.14"/>
    <col customWidth="1" min="218" max="225" width="11.57"/>
    <col customWidth="1" min="226" max="226" width="11.14"/>
    <col customWidth="1" min="227" max="227" width="10.71"/>
    <col customWidth="1" min="228" max="235" width="11.14"/>
  </cols>
  <sheetData>
    <row r="2">
      <c r="C2" s="14">
        <v>47635.0</v>
      </c>
      <c r="D2" s="14">
        <f t="shared" ref="D2:IA2" si="1">C2+7</f>
        <v>47642</v>
      </c>
      <c r="E2" s="14">
        <f t="shared" si="1"/>
        <v>47649</v>
      </c>
      <c r="F2" s="14">
        <f t="shared" si="1"/>
        <v>47656</v>
      </c>
      <c r="G2" s="14">
        <f t="shared" si="1"/>
        <v>47663</v>
      </c>
      <c r="H2" s="14">
        <f t="shared" si="1"/>
        <v>47670</v>
      </c>
      <c r="I2" s="14">
        <f t="shared" si="1"/>
        <v>47677</v>
      </c>
      <c r="J2" s="14">
        <f t="shared" si="1"/>
        <v>47684</v>
      </c>
      <c r="K2" s="14">
        <f t="shared" si="1"/>
        <v>47691</v>
      </c>
      <c r="L2" s="14">
        <f t="shared" si="1"/>
        <v>47698</v>
      </c>
      <c r="M2" s="14">
        <f t="shared" si="1"/>
        <v>47705</v>
      </c>
      <c r="N2" s="14">
        <f t="shared" si="1"/>
        <v>47712</v>
      </c>
      <c r="O2" s="14">
        <f t="shared" si="1"/>
        <v>47719</v>
      </c>
      <c r="P2" s="14">
        <f t="shared" si="1"/>
        <v>47726</v>
      </c>
      <c r="Q2" s="14">
        <f t="shared" si="1"/>
        <v>47733</v>
      </c>
      <c r="R2" s="14">
        <f t="shared" si="1"/>
        <v>47740</v>
      </c>
      <c r="S2" s="14">
        <f t="shared" si="1"/>
        <v>47747</v>
      </c>
      <c r="T2" s="14">
        <f t="shared" si="1"/>
        <v>47754</v>
      </c>
      <c r="U2" s="14">
        <f t="shared" si="1"/>
        <v>47761</v>
      </c>
      <c r="V2" s="14">
        <f t="shared" si="1"/>
        <v>47768</v>
      </c>
      <c r="W2" s="14">
        <f t="shared" si="1"/>
        <v>47775</v>
      </c>
      <c r="X2" s="14">
        <f t="shared" si="1"/>
        <v>47782</v>
      </c>
      <c r="Y2" s="14">
        <f t="shared" si="1"/>
        <v>47789</v>
      </c>
      <c r="Z2" s="14">
        <f t="shared" si="1"/>
        <v>47796</v>
      </c>
      <c r="AA2" s="14">
        <f t="shared" si="1"/>
        <v>47803</v>
      </c>
      <c r="AB2" s="14">
        <f t="shared" si="1"/>
        <v>47810</v>
      </c>
      <c r="AC2" s="14">
        <f t="shared" si="1"/>
        <v>47817</v>
      </c>
      <c r="AD2" s="14">
        <f t="shared" si="1"/>
        <v>47824</v>
      </c>
      <c r="AE2" s="14">
        <f t="shared" si="1"/>
        <v>47831</v>
      </c>
      <c r="AF2" s="14">
        <f t="shared" si="1"/>
        <v>47838</v>
      </c>
      <c r="AG2" s="14">
        <f t="shared" si="1"/>
        <v>47845</v>
      </c>
      <c r="AH2" s="14">
        <f t="shared" si="1"/>
        <v>47852</v>
      </c>
      <c r="AI2" s="14">
        <f t="shared" si="1"/>
        <v>47859</v>
      </c>
      <c r="AJ2" s="14">
        <f t="shared" si="1"/>
        <v>47866</v>
      </c>
      <c r="AK2" s="14">
        <f t="shared" si="1"/>
        <v>47873</v>
      </c>
      <c r="AL2" s="14">
        <f t="shared" si="1"/>
        <v>47880</v>
      </c>
      <c r="AM2" s="14">
        <f t="shared" si="1"/>
        <v>47887</v>
      </c>
      <c r="AN2" s="14">
        <f t="shared" si="1"/>
        <v>47894</v>
      </c>
      <c r="AO2" s="14">
        <f t="shared" si="1"/>
        <v>47901</v>
      </c>
      <c r="AP2" s="14">
        <f t="shared" si="1"/>
        <v>47908</v>
      </c>
      <c r="AQ2" s="14">
        <f t="shared" si="1"/>
        <v>47915</v>
      </c>
      <c r="AR2" s="14">
        <f t="shared" si="1"/>
        <v>47922</v>
      </c>
      <c r="AS2" s="14">
        <f t="shared" si="1"/>
        <v>47929</v>
      </c>
      <c r="AT2" s="14">
        <f t="shared" si="1"/>
        <v>47936</v>
      </c>
      <c r="AU2" s="14">
        <f t="shared" si="1"/>
        <v>47943</v>
      </c>
      <c r="AV2" s="14">
        <f t="shared" si="1"/>
        <v>47950</v>
      </c>
      <c r="AW2" s="14">
        <f t="shared" si="1"/>
        <v>47957</v>
      </c>
      <c r="AX2" s="14">
        <f t="shared" si="1"/>
        <v>47964</v>
      </c>
      <c r="AY2" s="14">
        <f t="shared" si="1"/>
        <v>47971</v>
      </c>
      <c r="AZ2" s="14">
        <f t="shared" si="1"/>
        <v>47978</v>
      </c>
      <c r="BA2" s="14">
        <f t="shared" si="1"/>
        <v>47985</v>
      </c>
      <c r="BB2" s="14">
        <f t="shared" si="1"/>
        <v>47992</v>
      </c>
      <c r="BC2" s="14">
        <f t="shared" si="1"/>
        <v>47999</v>
      </c>
      <c r="BD2" s="14">
        <f t="shared" si="1"/>
        <v>48006</v>
      </c>
      <c r="BE2" s="14">
        <f t="shared" si="1"/>
        <v>48013</v>
      </c>
      <c r="BF2" s="14">
        <f t="shared" si="1"/>
        <v>48020</v>
      </c>
      <c r="BG2" s="14">
        <f t="shared" si="1"/>
        <v>48027</v>
      </c>
      <c r="BH2" s="14">
        <f t="shared" si="1"/>
        <v>48034</v>
      </c>
      <c r="BI2" s="14">
        <f t="shared" si="1"/>
        <v>48041</v>
      </c>
      <c r="BJ2" s="14">
        <f t="shared" si="1"/>
        <v>48048</v>
      </c>
      <c r="BK2" s="14">
        <f t="shared" si="1"/>
        <v>48055</v>
      </c>
      <c r="BL2" s="14">
        <f t="shared" si="1"/>
        <v>48062</v>
      </c>
      <c r="BM2" s="14">
        <f t="shared" si="1"/>
        <v>48069</v>
      </c>
      <c r="BN2" s="14">
        <f t="shared" si="1"/>
        <v>48076</v>
      </c>
      <c r="BO2" s="14">
        <f t="shared" si="1"/>
        <v>48083</v>
      </c>
      <c r="BP2" s="14">
        <f t="shared" si="1"/>
        <v>48090</v>
      </c>
      <c r="BQ2" s="14">
        <f t="shared" si="1"/>
        <v>48097</v>
      </c>
      <c r="BR2" s="14">
        <f t="shared" si="1"/>
        <v>48104</v>
      </c>
      <c r="BS2" s="14">
        <f t="shared" si="1"/>
        <v>48111</v>
      </c>
      <c r="BT2" s="14">
        <f t="shared" si="1"/>
        <v>48118</v>
      </c>
      <c r="BU2" s="14">
        <f t="shared" si="1"/>
        <v>48125</v>
      </c>
      <c r="BV2" s="14">
        <f t="shared" si="1"/>
        <v>48132</v>
      </c>
      <c r="BW2" s="14">
        <f t="shared" si="1"/>
        <v>48139</v>
      </c>
      <c r="BX2" s="14">
        <f t="shared" si="1"/>
        <v>48146</v>
      </c>
      <c r="BY2" s="14">
        <f t="shared" si="1"/>
        <v>48153</v>
      </c>
      <c r="BZ2" s="14">
        <f t="shared" si="1"/>
        <v>48160</v>
      </c>
      <c r="CA2" s="14">
        <f t="shared" si="1"/>
        <v>48167</v>
      </c>
      <c r="CB2" s="14">
        <f t="shared" si="1"/>
        <v>48174</v>
      </c>
      <c r="CC2" s="14">
        <f t="shared" si="1"/>
        <v>48181</v>
      </c>
      <c r="CD2" s="14">
        <f t="shared" si="1"/>
        <v>48188</v>
      </c>
      <c r="CE2" s="14">
        <f t="shared" si="1"/>
        <v>48195</v>
      </c>
      <c r="CF2" s="14">
        <f t="shared" si="1"/>
        <v>48202</v>
      </c>
      <c r="CG2" s="14">
        <f t="shared" si="1"/>
        <v>48209</v>
      </c>
      <c r="CH2" s="14">
        <f t="shared" si="1"/>
        <v>48216</v>
      </c>
      <c r="CI2" s="14">
        <f t="shared" si="1"/>
        <v>48223</v>
      </c>
      <c r="CJ2" s="14">
        <f t="shared" si="1"/>
        <v>48230</v>
      </c>
      <c r="CK2" s="14">
        <f t="shared" si="1"/>
        <v>48237</v>
      </c>
      <c r="CL2" s="14">
        <f t="shared" si="1"/>
        <v>48244</v>
      </c>
      <c r="CM2" s="14">
        <f t="shared" si="1"/>
        <v>48251</v>
      </c>
      <c r="CN2" s="14">
        <f t="shared" si="1"/>
        <v>48258</v>
      </c>
      <c r="CO2" s="14">
        <f t="shared" si="1"/>
        <v>48265</v>
      </c>
      <c r="CP2" s="14">
        <f t="shared" si="1"/>
        <v>48272</v>
      </c>
      <c r="CQ2" s="14">
        <f t="shared" si="1"/>
        <v>48279</v>
      </c>
      <c r="CR2" s="14">
        <f t="shared" si="1"/>
        <v>48286</v>
      </c>
      <c r="CS2" s="14">
        <f t="shared" si="1"/>
        <v>48293</v>
      </c>
      <c r="CT2" s="14">
        <f t="shared" si="1"/>
        <v>48300</v>
      </c>
      <c r="CU2" s="14">
        <f t="shared" si="1"/>
        <v>48307</v>
      </c>
      <c r="CV2" s="14">
        <f t="shared" si="1"/>
        <v>48314</v>
      </c>
      <c r="CW2" s="14">
        <f t="shared" si="1"/>
        <v>48321</v>
      </c>
      <c r="CX2" s="14">
        <f t="shared" si="1"/>
        <v>48328</v>
      </c>
      <c r="CY2" s="14">
        <f t="shared" si="1"/>
        <v>48335</v>
      </c>
      <c r="CZ2" s="14">
        <f t="shared" si="1"/>
        <v>48342</v>
      </c>
      <c r="DA2" s="14">
        <f t="shared" si="1"/>
        <v>48349</v>
      </c>
      <c r="DB2" s="14">
        <f t="shared" si="1"/>
        <v>48356</v>
      </c>
      <c r="DC2" s="14">
        <f t="shared" si="1"/>
        <v>48363</v>
      </c>
      <c r="DD2" s="14">
        <f t="shared" si="1"/>
        <v>48370</v>
      </c>
      <c r="DE2" s="14">
        <f t="shared" si="1"/>
        <v>48377</v>
      </c>
      <c r="DF2" s="14">
        <f t="shared" si="1"/>
        <v>48384</v>
      </c>
      <c r="DG2" s="14">
        <f t="shared" si="1"/>
        <v>48391</v>
      </c>
      <c r="DH2" s="14">
        <f t="shared" si="1"/>
        <v>48398</v>
      </c>
      <c r="DI2" s="14">
        <f t="shared" si="1"/>
        <v>48405</v>
      </c>
      <c r="DJ2" s="14">
        <f t="shared" si="1"/>
        <v>48412</v>
      </c>
      <c r="DK2" s="14">
        <f t="shared" si="1"/>
        <v>48419</v>
      </c>
      <c r="DL2" s="14">
        <f t="shared" si="1"/>
        <v>48426</v>
      </c>
      <c r="DM2" s="14">
        <f t="shared" si="1"/>
        <v>48433</v>
      </c>
      <c r="DN2" s="14">
        <f t="shared" si="1"/>
        <v>48440</v>
      </c>
      <c r="DO2" s="14">
        <f t="shared" si="1"/>
        <v>48447</v>
      </c>
      <c r="DP2" s="14">
        <f t="shared" si="1"/>
        <v>48454</v>
      </c>
      <c r="DQ2" s="14">
        <f t="shared" si="1"/>
        <v>48461</v>
      </c>
      <c r="DR2" s="14">
        <f t="shared" si="1"/>
        <v>48468</v>
      </c>
      <c r="DS2" s="14">
        <f t="shared" si="1"/>
        <v>48475</v>
      </c>
      <c r="DT2" s="14">
        <f t="shared" si="1"/>
        <v>48482</v>
      </c>
      <c r="DU2" s="14">
        <f t="shared" si="1"/>
        <v>48489</v>
      </c>
      <c r="DV2" s="14">
        <f t="shared" si="1"/>
        <v>48496</v>
      </c>
      <c r="DW2" s="14">
        <f t="shared" si="1"/>
        <v>48503</v>
      </c>
      <c r="DX2" s="14">
        <f t="shared" si="1"/>
        <v>48510</v>
      </c>
      <c r="DY2" s="14">
        <f t="shared" si="1"/>
        <v>48517</v>
      </c>
      <c r="DZ2" s="14">
        <f t="shared" si="1"/>
        <v>48524</v>
      </c>
      <c r="EA2" s="14">
        <f t="shared" si="1"/>
        <v>48531</v>
      </c>
      <c r="EB2" s="14">
        <f t="shared" si="1"/>
        <v>48538</v>
      </c>
      <c r="EC2" s="14">
        <f t="shared" si="1"/>
        <v>48545</v>
      </c>
      <c r="ED2" s="14">
        <f t="shared" si="1"/>
        <v>48552</v>
      </c>
      <c r="EE2" s="14">
        <f t="shared" si="1"/>
        <v>48559</v>
      </c>
      <c r="EF2" s="14">
        <f t="shared" si="1"/>
        <v>48566</v>
      </c>
      <c r="EG2" s="14">
        <f t="shared" si="1"/>
        <v>48573</v>
      </c>
      <c r="EH2" s="14">
        <f t="shared" si="1"/>
        <v>48580</v>
      </c>
      <c r="EI2" s="14">
        <f t="shared" si="1"/>
        <v>48587</v>
      </c>
      <c r="EJ2" s="14">
        <f t="shared" si="1"/>
        <v>48594</v>
      </c>
      <c r="EK2" s="14">
        <f t="shared" si="1"/>
        <v>48601</v>
      </c>
      <c r="EL2" s="14">
        <f t="shared" si="1"/>
        <v>48608</v>
      </c>
      <c r="EM2" s="14">
        <f t="shared" si="1"/>
        <v>48615</v>
      </c>
      <c r="EN2" s="14">
        <f t="shared" si="1"/>
        <v>48622</v>
      </c>
      <c r="EO2" s="14">
        <f t="shared" si="1"/>
        <v>48629</v>
      </c>
      <c r="EP2" s="14">
        <f t="shared" si="1"/>
        <v>48636</v>
      </c>
      <c r="EQ2" s="14">
        <f t="shared" si="1"/>
        <v>48643</v>
      </c>
      <c r="ER2" s="14">
        <f t="shared" si="1"/>
        <v>48650</v>
      </c>
      <c r="ES2" s="14">
        <f t="shared" si="1"/>
        <v>48657</v>
      </c>
      <c r="ET2" s="14">
        <f t="shared" si="1"/>
        <v>48664</v>
      </c>
      <c r="EU2" s="14">
        <f t="shared" si="1"/>
        <v>48671</v>
      </c>
      <c r="EV2" s="14">
        <f t="shared" si="1"/>
        <v>48678</v>
      </c>
      <c r="EW2" s="14">
        <f t="shared" si="1"/>
        <v>48685</v>
      </c>
      <c r="EX2" s="14">
        <f t="shared" si="1"/>
        <v>48692</v>
      </c>
      <c r="EY2" s="14">
        <f t="shared" si="1"/>
        <v>48699</v>
      </c>
      <c r="EZ2" s="14">
        <f t="shared" si="1"/>
        <v>48706</v>
      </c>
      <c r="FA2" s="14">
        <f t="shared" si="1"/>
        <v>48713</v>
      </c>
      <c r="FB2" s="14">
        <f t="shared" si="1"/>
        <v>48720</v>
      </c>
      <c r="FC2" s="14">
        <f t="shared" si="1"/>
        <v>48727</v>
      </c>
      <c r="FD2" s="14">
        <f t="shared" si="1"/>
        <v>48734</v>
      </c>
      <c r="FE2" s="14">
        <f t="shared" si="1"/>
        <v>48741</v>
      </c>
      <c r="FF2" s="14">
        <f t="shared" si="1"/>
        <v>48748</v>
      </c>
      <c r="FG2" s="14">
        <f t="shared" si="1"/>
        <v>48755</v>
      </c>
      <c r="FH2" s="14">
        <f t="shared" si="1"/>
        <v>48762</v>
      </c>
      <c r="FI2" s="14">
        <f t="shared" si="1"/>
        <v>48769</v>
      </c>
      <c r="FJ2" s="14">
        <f t="shared" si="1"/>
        <v>48776</v>
      </c>
      <c r="FK2" s="14">
        <f t="shared" si="1"/>
        <v>48783</v>
      </c>
      <c r="FL2" s="14">
        <f t="shared" si="1"/>
        <v>48790</v>
      </c>
      <c r="FM2" s="14">
        <f t="shared" si="1"/>
        <v>48797</v>
      </c>
      <c r="FN2" s="14">
        <f t="shared" si="1"/>
        <v>48804</v>
      </c>
      <c r="FO2" s="14">
        <f t="shared" si="1"/>
        <v>48811</v>
      </c>
      <c r="FP2" s="14">
        <f t="shared" si="1"/>
        <v>48818</v>
      </c>
      <c r="FQ2" s="14">
        <f t="shared" si="1"/>
        <v>48825</v>
      </c>
      <c r="FR2" s="14">
        <f t="shared" si="1"/>
        <v>48832</v>
      </c>
      <c r="FS2" s="14">
        <f t="shared" si="1"/>
        <v>48839</v>
      </c>
      <c r="FT2" s="14">
        <f t="shared" si="1"/>
        <v>48846</v>
      </c>
      <c r="FU2" s="14">
        <f t="shared" si="1"/>
        <v>48853</v>
      </c>
      <c r="FV2" s="14">
        <f t="shared" si="1"/>
        <v>48860</v>
      </c>
      <c r="FW2" s="14">
        <f t="shared" si="1"/>
        <v>48867</v>
      </c>
      <c r="FX2" s="14">
        <f t="shared" si="1"/>
        <v>48874</v>
      </c>
      <c r="FY2" s="14">
        <f t="shared" si="1"/>
        <v>48881</v>
      </c>
      <c r="FZ2" s="14">
        <f t="shared" si="1"/>
        <v>48888</v>
      </c>
      <c r="GA2" s="14">
        <f t="shared" si="1"/>
        <v>48895</v>
      </c>
      <c r="GB2" s="14">
        <f t="shared" si="1"/>
        <v>48902</v>
      </c>
      <c r="GC2" s="14">
        <f t="shared" si="1"/>
        <v>48909</v>
      </c>
      <c r="GD2" s="14">
        <f t="shared" si="1"/>
        <v>48916</v>
      </c>
      <c r="GE2" s="14">
        <f t="shared" si="1"/>
        <v>48923</v>
      </c>
      <c r="GF2" s="14">
        <f t="shared" si="1"/>
        <v>48930</v>
      </c>
      <c r="GG2" s="14">
        <f t="shared" si="1"/>
        <v>48937</v>
      </c>
      <c r="GH2" s="14">
        <f t="shared" si="1"/>
        <v>48944</v>
      </c>
      <c r="GI2" s="14">
        <f t="shared" si="1"/>
        <v>48951</v>
      </c>
      <c r="GJ2" s="14">
        <f t="shared" si="1"/>
        <v>48958</v>
      </c>
      <c r="GK2" s="14">
        <f t="shared" si="1"/>
        <v>48965</v>
      </c>
      <c r="GL2" s="14">
        <f t="shared" si="1"/>
        <v>48972</v>
      </c>
      <c r="GM2" s="14">
        <f t="shared" si="1"/>
        <v>48979</v>
      </c>
      <c r="GN2" s="14">
        <f t="shared" si="1"/>
        <v>48986</v>
      </c>
      <c r="GO2" s="14">
        <f t="shared" si="1"/>
        <v>48993</v>
      </c>
      <c r="GP2" s="14">
        <f t="shared" si="1"/>
        <v>49000</v>
      </c>
      <c r="GQ2" s="14">
        <f t="shared" si="1"/>
        <v>49007</v>
      </c>
      <c r="GR2" s="14">
        <f t="shared" si="1"/>
        <v>49014</v>
      </c>
      <c r="GS2" s="14">
        <f t="shared" si="1"/>
        <v>49021</v>
      </c>
      <c r="GT2" s="14">
        <f t="shared" si="1"/>
        <v>49028</v>
      </c>
      <c r="GU2" s="14">
        <f t="shared" si="1"/>
        <v>49035</v>
      </c>
      <c r="GV2" s="14">
        <f t="shared" si="1"/>
        <v>49042</v>
      </c>
      <c r="GW2" s="14">
        <f t="shared" si="1"/>
        <v>49049</v>
      </c>
      <c r="GX2" s="14">
        <f t="shared" si="1"/>
        <v>49056</v>
      </c>
      <c r="GY2" s="14">
        <f t="shared" si="1"/>
        <v>49063</v>
      </c>
      <c r="GZ2" s="14">
        <f t="shared" si="1"/>
        <v>49070</v>
      </c>
      <c r="HA2" s="14">
        <f t="shared" si="1"/>
        <v>49077</v>
      </c>
      <c r="HB2" s="14">
        <f t="shared" si="1"/>
        <v>49084</v>
      </c>
      <c r="HC2" s="14">
        <f t="shared" si="1"/>
        <v>49091</v>
      </c>
      <c r="HD2" s="14">
        <f t="shared" si="1"/>
        <v>49098</v>
      </c>
      <c r="HE2" s="14">
        <f t="shared" si="1"/>
        <v>49105</v>
      </c>
      <c r="HF2" s="14">
        <f t="shared" si="1"/>
        <v>49112</v>
      </c>
      <c r="HG2" s="14">
        <f t="shared" si="1"/>
        <v>49119</v>
      </c>
      <c r="HH2" s="14">
        <f t="shared" si="1"/>
        <v>49126</v>
      </c>
      <c r="HI2" s="14">
        <f t="shared" si="1"/>
        <v>49133</v>
      </c>
      <c r="HJ2" s="14">
        <f t="shared" si="1"/>
        <v>49140</v>
      </c>
      <c r="HK2" s="14">
        <f t="shared" si="1"/>
        <v>49147</v>
      </c>
      <c r="HL2" s="14">
        <f t="shared" si="1"/>
        <v>49154</v>
      </c>
      <c r="HM2" s="14">
        <f t="shared" si="1"/>
        <v>49161</v>
      </c>
      <c r="HN2" s="14">
        <f t="shared" si="1"/>
        <v>49168</v>
      </c>
      <c r="HO2" s="14">
        <f t="shared" si="1"/>
        <v>49175</v>
      </c>
      <c r="HP2" s="14">
        <f t="shared" si="1"/>
        <v>49182</v>
      </c>
      <c r="HQ2" s="14">
        <f t="shared" si="1"/>
        <v>49189</v>
      </c>
      <c r="HR2" s="14">
        <f t="shared" si="1"/>
        <v>49196</v>
      </c>
      <c r="HS2" s="14">
        <f t="shared" si="1"/>
        <v>49203</v>
      </c>
      <c r="HT2" s="14">
        <f t="shared" si="1"/>
        <v>49210</v>
      </c>
      <c r="HU2" s="14">
        <f t="shared" si="1"/>
        <v>49217</v>
      </c>
      <c r="HV2" s="14">
        <f t="shared" si="1"/>
        <v>49224</v>
      </c>
      <c r="HW2" s="14">
        <f t="shared" si="1"/>
        <v>49231</v>
      </c>
      <c r="HX2" s="14">
        <f t="shared" si="1"/>
        <v>49238</v>
      </c>
      <c r="HY2" s="14">
        <f t="shared" si="1"/>
        <v>49245</v>
      </c>
      <c r="HZ2" s="14">
        <f t="shared" si="1"/>
        <v>49252</v>
      </c>
      <c r="IA2" s="14">
        <f t="shared" si="1"/>
        <v>49259</v>
      </c>
    </row>
    <row r="3">
      <c r="B3" s="15" t="s">
        <v>14</v>
      </c>
      <c r="C3" s="16">
        <v>100.0</v>
      </c>
      <c r="D3" s="17">
        <v>100.0</v>
      </c>
      <c r="E3" s="17">
        <v>100.0</v>
      </c>
      <c r="F3" s="17">
        <v>100.0</v>
      </c>
      <c r="G3" s="17">
        <v>100.0</v>
      </c>
      <c r="H3" s="17">
        <v>100.0</v>
      </c>
      <c r="I3" s="17">
        <v>100.0</v>
      </c>
      <c r="J3" s="17">
        <v>100.0</v>
      </c>
      <c r="K3" s="17">
        <v>100.0</v>
      </c>
      <c r="L3" s="17">
        <v>100.0</v>
      </c>
      <c r="M3" s="17">
        <v>100.0</v>
      </c>
      <c r="N3" s="17">
        <v>100.0</v>
      </c>
      <c r="O3" s="17">
        <v>100.0</v>
      </c>
      <c r="P3" s="17">
        <v>100.0</v>
      </c>
      <c r="Q3" s="17">
        <v>100.0</v>
      </c>
      <c r="R3" s="17">
        <v>100.0</v>
      </c>
      <c r="S3" s="17">
        <v>100.0</v>
      </c>
      <c r="T3" s="17">
        <v>100.0</v>
      </c>
      <c r="U3" s="17">
        <v>100.0</v>
      </c>
      <c r="V3" s="17">
        <v>100.0</v>
      </c>
      <c r="W3" s="17">
        <v>100.0</v>
      </c>
      <c r="X3" s="17">
        <v>100.0</v>
      </c>
      <c r="Y3" s="17">
        <v>100.0</v>
      </c>
      <c r="Z3" s="17">
        <v>100.0</v>
      </c>
      <c r="AA3" s="17">
        <v>100.0</v>
      </c>
      <c r="AB3" s="17">
        <v>100.0</v>
      </c>
      <c r="AC3" s="17">
        <v>100.0</v>
      </c>
      <c r="AD3" s="17">
        <v>100.0</v>
      </c>
      <c r="AE3" s="17">
        <v>100.0</v>
      </c>
      <c r="AF3" s="17">
        <v>100.0</v>
      </c>
      <c r="AG3" s="17">
        <v>100.0</v>
      </c>
      <c r="AH3" s="17">
        <v>100.0</v>
      </c>
      <c r="AI3" s="17">
        <v>100.0</v>
      </c>
      <c r="AJ3" s="17">
        <v>100.0</v>
      </c>
      <c r="AK3" s="17">
        <v>100.0</v>
      </c>
      <c r="AL3" s="17">
        <v>100.0</v>
      </c>
      <c r="AM3" s="17">
        <v>100.0</v>
      </c>
      <c r="AN3" s="17">
        <v>100.0</v>
      </c>
      <c r="AO3" s="17">
        <v>100.0</v>
      </c>
      <c r="AP3" s="17">
        <v>100.0</v>
      </c>
      <c r="AQ3" s="17">
        <v>100.0</v>
      </c>
      <c r="AR3" s="17">
        <v>100.0</v>
      </c>
      <c r="AS3" s="17">
        <v>100.0</v>
      </c>
      <c r="AT3" s="17">
        <v>100.0</v>
      </c>
      <c r="AU3" s="17">
        <v>100.0</v>
      </c>
      <c r="AV3" s="17">
        <v>100.0</v>
      </c>
      <c r="AW3" s="17">
        <v>100.0</v>
      </c>
      <c r="AX3" s="17">
        <v>100.0</v>
      </c>
      <c r="AY3" s="17">
        <v>100.0</v>
      </c>
      <c r="AZ3" s="17">
        <v>100.0</v>
      </c>
      <c r="BA3" s="17">
        <v>100.0</v>
      </c>
      <c r="BB3" s="17">
        <v>100.0</v>
      </c>
      <c r="BC3" s="17">
        <v>100.0</v>
      </c>
      <c r="BD3" s="17">
        <v>100.0</v>
      </c>
      <c r="BE3" s="17">
        <v>100.0</v>
      </c>
      <c r="BF3" s="17">
        <v>100.0</v>
      </c>
      <c r="BG3" s="17">
        <v>100.0</v>
      </c>
      <c r="BH3" s="17">
        <v>100.0</v>
      </c>
      <c r="BI3" s="17">
        <v>100.0</v>
      </c>
      <c r="BJ3" s="17">
        <v>100.0</v>
      </c>
      <c r="BK3" s="17">
        <v>100.0</v>
      </c>
      <c r="BL3" s="17">
        <v>100.0</v>
      </c>
      <c r="BM3" s="17">
        <v>100.0</v>
      </c>
      <c r="BN3" s="17">
        <v>100.0</v>
      </c>
      <c r="BO3" s="17">
        <v>100.0</v>
      </c>
      <c r="BP3" s="17">
        <v>100.0</v>
      </c>
      <c r="BQ3" s="17">
        <v>100.0</v>
      </c>
      <c r="BR3" s="17">
        <v>100.0</v>
      </c>
      <c r="BS3" s="17">
        <v>100.0</v>
      </c>
      <c r="BT3" s="17">
        <v>100.0</v>
      </c>
      <c r="BU3" s="17">
        <v>100.0</v>
      </c>
      <c r="BV3" s="17">
        <v>100.0</v>
      </c>
      <c r="BW3" s="17">
        <v>100.0</v>
      </c>
      <c r="BX3" s="17">
        <v>100.0</v>
      </c>
      <c r="BY3" s="17">
        <v>100.0</v>
      </c>
      <c r="BZ3" s="17">
        <v>100.0</v>
      </c>
      <c r="CA3" s="17">
        <v>100.0</v>
      </c>
      <c r="CB3" s="17">
        <v>100.0</v>
      </c>
      <c r="CC3" s="17">
        <v>100.0</v>
      </c>
      <c r="CD3" s="17">
        <v>100.0</v>
      </c>
      <c r="CE3" s="17">
        <v>100.0</v>
      </c>
      <c r="CF3" s="17">
        <v>100.0</v>
      </c>
      <c r="CG3" s="17">
        <v>100.0</v>
      </c>
      <c r="CH3" s="17">
        <v>100.0</v>
      </c>
      <c r="CI3" s="17">
        <v>100.0</v>
      </c>
      <c r="CJ3" s="17">
        <v>100.0</v>
      </c>
      <c r="CK3" s="17">
        <v>100.0</v>
      </c>
      <c r="CL3" s="17">
        <v>100.0</v>
      </c>
      <c r="CM3" s="17">
        <v>100.0</v>
      </c>
      <c r="CN3" s="17">
        <v>100.0</v>
      </c>
      <c r="CO3" s="17">
        <v>100.0</v>
      </c>
      <c r="CP3" s="17">
        <v>100.0</v>
      </c>
      <c r="CQ3" s="17">
        <v>100.0</v>
      </c>
      <c r="CR3" s="17">
        <v>100.0</v>
      </c>
      <c r="CS3" s="17">
        <v>100.0</v>
      </c>
      <c r="CT3" s="17">
        <v>100.0</v>
      </c>
      <c r="CU3" s="17">
        <v>100.0</v>
      </c>
      <c r="CV3" s="17">
        <v>100.0</v>
      </c>
      <c r="CW3" s="17">
        <v>100.0</v>
      </c>
      <c r="CX3" s="17">
        <v>100.0</v>
      </c>
      <c r="CY3" s="17">
        <v>100.0</v>
      </c>
      <c r="CZ3" s="17">
        <v>100.0</v>
      </c>
      <c r="DA3" s="17">
        <v>100.0</v>
      </c>
      <c r="DB3" s="17">
        <v>100.0</v>
      </c>
      <c r="DC3" s="17">
        <v>100.0</v>
      </c>
      <c r="DD3" s="17">
        <v>100.0</v>
      </c>
      <c r="DE3" s="17">
        <v>100.0</v>
      </c>
      <c r="DF3" s="17">
        <v>100.0</v>
      </c>
      <c r="DG3" s="17">
        <v>100.0</v>
      </c>
      <c r="DH3" s="17">
        <v>100.0</v>
      </c>
      <c r="DI3" s="17">
        <v>100.0</v>
      </c>
      <c r="DJ3" s="17">
        <v>100.0</v>
      </c>
      <c r="DK3" s="17">
        <v>100.0</v>
      </c>
      <c r="DL3" s="17">
        <v>100.0</v>
      </c>
      <c r="DM3" s="17">
        <v>100.0</v>
      </c>
      <c r="DN3" s="17">
        <v>100.0</v>
      </c>
      <c r="DO3" s="17">
        <v>100.0</v>
      </c>
      <c r="DP3" s="17">
        <v>100.0</v>
      </c>
      <c r="DQ3" s="17">
        <v>100.0</v>
      </c>
      <c r="DR3" s="17">
        <v>100.0</v>
      </c>
      <c r="DS3" s="17">
        <v>100.0</v>
      </c>
      <c r="DT3" s="17">
        <v>100.0</v>
      </c>
      <c r="DU3" s="17">
        <v>100.0</v>
      </c>
      <c r="DV3" s="17">
        <v>100.0</v>
      </c>
      <c r="DW3" s="17">
        <v>100.0</v>
      </c>
      <c r="DX3" s="17">
        <v>100.0</v>
      </c>
      <c r="DY3" s="17">
        <v>100.0</v>
      </c>
      <c r="DZ3" s="17">
        <v>100.0</v>
      </c>
      <c r="EA3" s="17">
        <v>100.0</v>
      </c>
      <c r="EB3" s="17">
        <v>100.0</v>
      </c>
      <c r="EC3" s="17">
        <v>100.0</v>
      </c>
      <c r="ED3" s="17">
        <v>100.0</v>
      </c>
      <c r="EE3" s="17">
        <v>100.0</v>
      </c>
      <c r="EF3" s="17">
        <v>100.0</v>
      </c>
      <c r="EG3" s="17">
        <v>100.0</v>
      </c>
      <c r="EH3" s="17">
        <v>100.0</v>
      </c>
      <c r="EI3" s="17">
        <v>100.0</v>
      </c>
      <c r="EJ3" s="17">
        <v>100.0</v>
      </c>
      <c r="EK3" s="17">
        <v>100.0</v>
      </c>
      <c r="EL3" s="17">
        <v>100.0</v>
      </c>
      <c r="EM3" s="17">
        <v>100.0</v>
      </c>
      <c r="EN3" s="17">
        <v>100.0</v>
      </c>
      <c r="EO3" s="17">
        <v>100.0</v>
      </c>
      <c r="EP3" s="17">
        <v>100.0</v>
      </c>
      <c r="EQ3" s="17">
        <v>100.0</v>
      </c>
      <c r="ER3" s="17">
        <v>100.0</v>
      </c>
      <c r="ES3" s="17">
        <v>100.0</v>
      </c>
      <c r="ET3" s="17">
        <v>100.0</v>
      </c>
      <c r="EU3" s="17">
        <v>100.0</v>
      </c>
      <c r="EV3" s="17">
        <v>100.0</v>
      </c>
      <c r="EW3" s="17">
        <v>100.0</v>
      </c>
      <c r="EX3" s="17">
        <v>100.0</v>
      </c>
      <c r="EY3" s="17">
        <v>100.0</v>
      </c>
      <c r="EZ3" s="17">
        <v>100.0</v>
      </c>
      <c r="FA3" s="17">
        <v>100.0</v>
      </c>
      <c r="FB3" s="17">
        <v>100.0</v>
      </c>
      <c r="FC3" s="17">
        <v>100.0</v>
      </c>
      <c r="FD3" s="17">
        <v>100.0</v>
      </c>
      <c r="FE3" s="17">
        <v>100.0</v>
      </c>
      <c r="FF3" s="17">
        <v>100.0</v>
      </c>
      <c r="FG3" s="17">
        <v>100.0</v>
      </c>
      <c r="FH3" s="17">
        <v>100.0</v>
      </c>
      <c r="FI3" s="17">
        <v>100.0</v>
      </c>
      <c r="FJ3" s="17">
        <v>100.0</v>
      </c>
      <c r="FK3" s="17">
        <v>100.0</v>
      </c>
      <c r="FL3" s="17">
        <v>100.0</v>
      </c>
      <c r="FM3" s="17">
        <v>100.0</v>
      </c>
      <c r="FN3" s="17">
        <v>100.0</v>
      </c>
      <c r="FO3" s="17">
        <v>100.0</v>
      </c>
      <c r="FP3" s="17">
        <v>100.0</v>
      </c>
      <c r="FQ3" s="17">
        <v>100.0</v>
      </c>
      <c r="FR3" s="17">
        <v>100.0</v>
      </c>
      <c r="FS3" s="17">
        <v>100.0</v>
      </c>
      <c r="FT3" s="17">
        <v>100.0</v>
      </c>
      <c r="FU3" s="17">
        <v>100.0</v>
      </c>
      <c r="FV3" s="17">
        <v>100.0</v>
      </c>
      <c r="FW3" s="17">
        <v>100.0</v>
      </c>
      <c r="FX3" s="17">
        <v>100.0</v>
      </c>
      <c r="FY3" s="17">
        <v>100.0</v>
      </c>
      <c r="FZ3" s="17">
        <v>100.0</v>
      </c>
      <c r="GA3" s="17">
        <v>100.0</v>
      </c>
      <c r="GB3" s="17">
        <v>100.0</v>
      </c>
      <c r="GC3" s="17">
        <v>100.0</v>
      </c>
      <c r="GD3" s="17">
        <v>100.0</v>
      </c>
      <c r="GE3" s="17">
        <v>100.0</v>
      </c>
      <c r="GF3" s="17">
        <v>100.0</v>
      </c>
      <c r="GG3" s="17">
        <v>100.0</v>
      </c>
      <c r="GH3" s="17">
        <v>100.0</v>
      </c>
      <c r="GI3" s="17">
        <v>100.0</v>
      </c>
      <c r="GJ3" s="17">
        <v>100.0</v>
      </c>
      <c r="GK3" s="17">
        <v>100.0</v>
      </c>
      <c r="GL3" s="17">
        <v>100.0</v>
      </c>
      <c r="GM3" s="17">
        <v>100.0</v>
      </c>
      <c r="GN3" s="17">
        <v>100.0</v>
      </c>
      <c r="GO3" s="17">
        <v>100.0</v>
      </c>
      <c r="GP3" s="17">
        <v>100.0</v>
      </c>
      <c r="GQ3" s="17">
        <v>100.0</v>
      </c>
      <c r="GR3" s="17">
        <v>100.0</v>
      </c>
      <c r="GS3" s="17">
        <v>100.0</v>
      </c>
      <c r="GT3" s="17">
        <v>100.0</v>
      </c>
      <c r="GU3" s="17">
        <v>100.0</v>
      </c>
      <c r="GV3" s="17">
        <v>100.0</v>
      </c>
      <c r="GW3" s="17">
        <v>100.0</v>
      </c>
      <c r="GX3" s="17">
        <v>100.0</v>
      </c>
      <c r="GY3" s="17">
        <v>100.0</v>
      </c>
      <c r="GZ3" s="17">
        <v>100.0</v>
      </c>
      <c r="HA3" s="17">
        <v>100.0</v>
      </c>
      <c r="HB3" s="17">
        <v>100.0</v>
      </c>
      <c r="HC3" s="17">
        <v>100.0</v>
      </c>
      <c r="HD3" s="17">
        <v>100.0</v>
      </c>
      <c r="HE3" s="17">
        <v>100.0</v>
      </c>
      <c r="HF3" s="17">
        <v>100.0</v>
      </c>
      <c r="HG3" s="17">
        <v>100.0</v>
      </c>
      <c r="HH3" s="17">
        <v>100.0</v>
      </c>
      <c r="HI3" s="17">
        <v>100.0</v>
      </c>
      <c r="HJ3" s="17">
        <v>100.0</v>
      </c>
      <c r="HK3" s="17">
        <v>100.0</v>
      </c>
      <c r="HL3" s="17">
        <v>100.0</v>
      </c>
      <c r="HM3" s="17">
        <v>100.0</v>
      </c>
      <c r="HN3" s="17">
        <v>100.0</v>
      </c>
      <c r="HO3" s="17">
        <v>100.0</v>
      </c>
      <c r="HP3" s="17">
        <v>100.0</v>
      </c>
      <c r="HQ3" s="17">
        <v>100.0</v>
      </c>
      <c r="HR3" s="17">
        <v>100.0</v>
      </c>
      <c r="HS3" s="17">
        <v>100.0</v>
      </c>
      <c r="HT3" s="17">
        <v>100.0</v>
      </c>
      <c r="HU3" s="17">
        <v>100.0</v>
      </c>
      <c r="HV3" s="17">
        <v>100.0</v>
      </c>
      <c r="HW3" s="17">
        <v>100.0</v>
      </c>
      <c r="HX3" s="17">
        <v>100.0</v>
      </c>
      <c r="HY3" s="17">
        <v>100.0</v>
      </c>
      <c r="HZ3" s="17">
        <v>100.0</v>
      </c>
      <c r="IA3" s="17">
        <v>100.0</v>
      </c>
    </row>
    <row r="4">
      <c r="B4" s="15" t="s">
        <v>15</v>
      </c>
      <c r="C4" s="17">
        <f t="shared" ref="C4:CX4" si="2">SUM(C5:C7)</f>
        <v>3</v>
      </c>
      <c r="D4" s="17">
        <f t="shared" si="2"/>
        <v>7</v>
      </c>
      <c r="E4" s="17">
        <f t="shared" si="2"/>
        <v>12</v>
      </c>
      <c r="F4" s="17">
        <f t="shared" si="2"/>
        <v>15</v>
      </c>
      <c r="G4" s="17">
        <f t="shared" si="2"/>
        <v>18</v>
      </c>
      <c r="H4" s="17">
        <f t="shared" si="2"/>
        <v>23</v>
      </c>
      <c r="I4" s="17">
        <f t="shared" si="2"/>
        <v>31</v>
      </c>
      <c r="J4" s="17">
        <f t="shared" si="2"/>
        <v>32</v>
      </c>
      <c r="K4" s="17">
        <f t="shared" si="2"/>
        <v>37</v>
      </c>
      <c r="L4" s="17">
        <f t="shared" si="2"/>
        <v>41</v>
      </c>
      <c r="M4" s="17">
        <f t="shared" si="2"/>
        <v>45</v>
      </c>
      <c r="N4" s="17">
        <f t="shared" si="2"/>
        <v>45</v>
      </c>
      <c r="O4" s="17">
        <f t="shared" si="2"/>
        <v>45</v>
      </c>
      <c r="P4" s="17">
        <f t="shared" si="2"/>
        <v>48</v>
      </c>
      <c r="Q4" s="17">
        <f t="shared" si="2"/>
        <v>53</v>
      </c>
      <c r="R4" s="17">
        <f t="shared" si="2"/>
        <v>58</v>
      </c>
      <c r="S4" s="17">
        <f t="shared" si="2"/>
        <v>0</v>
      </c>
      <c r="T4" s="17">
        <f t="shared" si="2"/>
        <v>0</v>
      </c>
      <c r="U4" s="17">
        <f t="shared" si="2"/>
        <v>0</v>
      </c>
      <c r="V4" s="17">
        <f t="shared" si="2"/>
        <v>0</v>
      </c>
      <c r="W4" s="17">
        <f t="shared" si="2"/>
        <v>0</v>
      </c>
      <c r="X4" s="17">
        <f t="shared" si="2"/>
        <v>0</v>
      </c>
      <c r="Y4" s="17">
        <f t="shared" si="2"/>
        <v>0</v>
      </c>
      <c r="Z4" s="17">
        <f t="shared" si="2"/>
        <v>0</v>
      </c>
      <c r="AA4" s="17">
        <f t="shared" si="2"/>
        <v>0</v>
      </c>
      <c r="AB4" s="17">
        <f t="shared" si="2"/>
        <v>0</v>
      </c>
      <c r="AC4" s="17">
        <f t="shared" si="2"/>
        <v>0</v>
      </c>
      <c r="AD4" s="17">
        <f t="shared" si="2"/>
        <v>0</v>
      </c>
      <c r="AE4" s="17">
        <f t="shared" si="2"/>
        <v>0</v>
      </c>
      <c r="AF4" s="17">
        <f t="shared" si="2"/>
        <v>0</v>
      </c>
      <c r="AG4" s="17">
        <f t="shared" si="2"/>
        <v>0</v>
      </c>
      <c r="AH4" s="17">
        <f t="shared" si="2"/>
        <v>0</v>
      </c>
      <c r="AI4" s="17">
        <f t="shared" si="2"/>
        <v>0</v>
      </c>
      <c r="AJ4" s="17">
        <f t="shared" si="2"/>
        <v>0</v>
      </c>
      <c r="AK4" s="17">
        <f t="shared" si="2"/>
        <v>0</v>
      </c>
      <c r="AL4" s="17">
        <f t="shared" si="2"/>
        <v>0</v>
      </c>
      <c r="AM4" s="17">
        <f t="shared" si="2"/>
        <v>0</v>
      </c>
      <c r="AN4" s="17">
        <f t="shared" si="2"/>
        <v>0</v>
      </c>
      <c r="AO4" s="17">
        <f t="shared" si="2"/>
        <v>0</v>
      </c>
      <c r="AP4" s="17">
        <f t="shared" si="2"/>
        <v>0</v>
      </c>
      <c r="AQ4" s="17">
        <f t="shared" si="2"/>
        <v>0</v>
      </c>
      <c r="AR4" s="17">
        <f t="shared" si="2"/>
        <v>0</v>
      </c>
      <c r="AS4" s="17">
        <f t="shared" si="2"/>
        <v>0</v>
      </c>
      <c r="AT4" s="17">
        <f t="shared" si="2"/>
        <v>0</v>
      </c>
      <c r="AU4" s="17">
        <f t="shared" si="2"/>
        <v>0</v>
      </c>
      <c r="AV4" s="17">
        <f t="shared" si="2"/>
        <v>0</v>
      </c>
      <c r="AW4" s="17">
        <f t="shared" si="2"/>
        <v>0</v>
      </c>
      <c r="AX4" s="17">
        <f t="shared" si="2"/>
        <v>0</v>
      </c>
      <c r="AY4" s="17">
        <f t="shared" si="2"/>
        <v>0</v>
      </c>
      <c r="AZ4" s="17">
        <f t="shared" si="2"/>
        <v>0</v>
      </c>
      <c r="BA4" s="17">
        <f t="shared" si="2"/>
        <v>0</v>
      </c>
      <c r="BB4" s="17">
        <f t="shared" si="2"/>
        <v>0</v>
      </c>
      <c r="BC4" s="17">
        <f t="shared" si="2"/>
        <v>0</v>
      </c>
      <c r="BD4" s="17">
        <f t="shared" si="2"/>
        <v>0</v>
      </c>
      <c r="BE4" s="17">
        <f t="shared" si="2"/>
        <v>0</v>
      </c>
      <c r="BF4" s="17">
        <f t="shared" si="2"/>
        <v>0</v>
      </c>
      <c r="BG4" s="17">
        <f t="shared" si="2"/>
        <v>0</v>
      </c>
      <c r="BH4" s="17">
        <f t="shared" si="2"/>
        <v>0</v>
      </c>
      <c r="BI4" s="17">
        <f t="shared" si="2"/>
        <v>0</v>
      </c>
      <c r="BJ4" s="17">
        <f t="shared" si="2"/>
        <v>0</v>
      </c>
      <c r="BK4" s="17">
        <f t="shared" si="2"/>
        <v>0</v>
      </c>
      <c r="BL4" s="17">
        <f t="shared" si="2"/>
        <v>0</v>
      </c>
      <c r="BM4" s="17">
        <f t="shared" si="2"/>
        <v>0</v>
      </c>
      <c r="BN4" s="17">
        <f t="shared" si="2"/>
        <v>0</v>
      </c>
      <c r="BO4" s="17">
        <f t="shared" si="2"/>
        <v>0</v>
      </c>
      <c r="BP4" s="17">
        <f t="shared" si="2"/>
        <v>0</v>
      </c>
      <c r="BQ4" s="17">
        <f t="shared" si="2"/>
        <v>0</v>
      </c>
      <c r="BR4" s="17">
        <f t="shared" si="2"/>
        <v>0</v>
      </c>
      <c r="BS4" s="17">
        <f t="shared" si="2"/>
        <v>0</v>
      </c>
      <c r="BT4" s="17">
        <f t="shared" si="2"/>
        <v>0</v>
      </c>
      <c r="BU4" s="17">
        <f t="shared" si="2"/>
        <v>0</v>
      </c>
      <c r="BV4" s="17">
        <f t="shared" si="2"/>
        <v>0</v>
      </c>
      <c r="BW4" s="17">
        <f t="shared" si="2"/>
        <v>0</v>
      </c>
      <c r="BX4" s="17">
        <f t="shared" si="2"/>
        <v>0</v>
      </c>
      <c r="BY4" s="17">
        <f t="shared" si="2"/>
        <v>0</v>
      </c>
      <c r="BZ4" s="17">
        <f t="shared" si="2"/>
        <v>0</v>
      </c>
      <c r="CA4" s="17">
        <f t="shared" si="2"/>
        <v>0</v>
      </c>
      <c r="CB4" s="17">
        <f t="shared" si="2"/>
        <v>0</v>
      </c>
      <c r="CC4" s="17">
        <f t="shared" si="2"/>
        <v>0</v>
      </c>
      <c r="CD4" s="17">
        <f t="shared" si="2"/>
        <v>0</v>
      </c>
      <c r="CE4" s="17">
        <f t="shared" si="2"/>
        <v>0</v>
      </c>
      <c r="CF4" s="17">
        <f t="shared" si="2"/>
        <v>0</v>
      </c>
      <c r="CG4" s="17">
        <f t="shared" si="2"/>
        <v>0</v>
      </c>
      <c r="CH4" s="17">
        <f t="shared" si="2"/>
        <v>0</v>
      </c>
      <c r="CI4" s="17">
        <f t="shared" si="2"/>
        <v>0</v>
      </c>
      <c r="CJ4" s="17">
        <f t="shared" si="2"/>
        <v>0</v>
      </c>
      <c r="CK4" s="17">
        <f t="shared" si="2"/>
        <v>0</v>
      </c>
      <c r="CL4" s="17">
        <f t="shared" si="2"/>
        <v>0</v>
      </c>
      <c r="CM4" s="17">
        <f t="shared" si="2"/>
        <v>0</v>
      </c>
      <c r="CN4" s="17">
        <f t="shared" si="2"/>
        <v>0</v>
      </c>
      <c r="CO4" s="17">
        <f t="shared" si="2"/>
        <v>0</v>
      </c>
      <c r="CP4" s="17">
        <f t="shared" si="2"/>
        <v>0</v>
      </c>
      <c r="CQ4" s="17">
        <f t="shared" si="2"/>
        <v>0</v>
      </c>
      <c r="CR4" s="17">
        <f t="shared" si="2"/>
        <v>0</v>
      </c>
      <c r="CS4" s="17">
        <f t="shared" si="2"/>
        <v>0</v>
      </c>
      <c r="CT4" s="17">
        <f t="shared" si="2"/>
        <v>0</v>
      </c>
      <c r="CU4" s="17">
        <f t="shared" si="2"/>
        <v>0</v>
      </c>
      <c r="CV4" s="17">
        <f t="shared" si="2"/>
        <v>0</v>
      </c>
      <c r="CW4" s="17">
        <f t="shared" si="2"/>
        <v>0</v>
      </c>
      <c r="CX4" s="17">
        <f t="shared" si="2"/>
        <v>0</v>
      </c>
      <c r="CY4" s="17"/>
      <c r="CZ4" s="17"/>
      <c r="DA4" s="17"/>
      <c r="DB4" s="17"/>
      <c r="DC4" s="17"/>
      <c r="DD4" s="17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/>
      <c r="DR4" s="17"/>
      <c r="DS4" s="17"/>
      <c r="DT4" s="17"/>
      <c r="DU4" s="17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7"/>
      <c r="EL4" s="17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/>
      <c r="EX4" s="17"/>
      <c r="EY4" s="17"/>
      <c r="EZ4" s="17"/>
      <c r="FA4" s="17"/>
      <c r="FB4" s="17"/>
      <c r="FC4" s="17"/>
      <c r="FD4" s="17"/>
      <c r="FE4" s="17"/>
      <c r="FF4" s="17"/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7"/>
      <c r="FT4" s="17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7"/>
      <c r="GK4" s="17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7"/>
      <c r="HB4" s="17"/>
      <c r="HC4" s="17"/>
      <c r="HD4" s="17"/>
      <c r="HE4" s="17"/>
      <c r="HF4" s="17"/>
      <c r="HG4" s="17"/>
      <c r="HH4" s="17"/>
      <c r="HI4" s="17"/>
      <c r="HJ4" s="17"/>
      <c r="HK4" s="17"/>
      <c r="HL4" s="17"/>
      <c r="HM4" s="17"/>
      <c r="HN4" s="17"/>
      <c r="HO4" s="17"/>
      <c r="HP4" s="17"/>
      <c r="HQ4" s="17"/>
      <c r="HR4" s="17"/>
      <c r="HS4" s="17"/>
      <c r="HT4" s="17"/>
      <c r="HU4" s="17"/>
      <c r="HV4" s="17"/>
      <c r="HW4" s="17"/>
      <c r="HX4" s="17"/>
      <c r="HY4" s="17"/>
      <c r="HZ4" s="17"/>
      <c r="IA4" s="17"/>
    </row>
    <row r="5">
      <c r="B5" s="15" t="s">
        <v>16</v>
      </c>
      <c r="C5" s="17">
        <v>1.0</v>
      </c>
      <c r="D5" s="17">
        <v>3.0</v>
      </c>
      <c r="E5" s="17">
        <v>7.0</v>
      </c>
      <c r="F5" s="17">
        <v>8.0</v>
      </c>
      <c r="G5" s="17">
        <v>11.0</v>
      </c>
      <c r="H5" s="17">
        <v>16.0</v>
      </c>
      <c r="I5" s="17">
        <v>17.0</v>
      </c>
      <c r="J5" s="17">
        <v>18.0</v>
      </c>
      <c r="K5" s="17">
        <v>23.0</v>
      </c>
      <c r="L5" s="17">
        <v>27.0</v>
      </c>
      <c r="M5" s="17">
        <v>31.0</v>
      </c>
      <c r="N5" s="17">
        <v>31.0</v>
      </c>
      <c r="O5" s="17">
        <v>31.0</v>
      </c>
      <c r="P5" s="17">
        <v>35.0</v>
      </c>
      <c r="Q5" s="17">
        <v>40.0</v>
      </c>
      <c r="R5" s="17">
        <v>45.0</v>
      </c>
      <c r="S5" s="17"/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/>
      <c r="AG5" s="17"/>
      <c r="AH5" s="17"/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17"/>
      <c r="BI5" s="17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17"/>
      <c r="FM5" s="17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17"/>
      <c r="GN5" s="17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17"/>
      <c r="HO5" s="17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</row>
    <row r="6">
      <c r="B6" s="15" t="s">
        <v>17</v>
      </c>
      <c r="C6" s="17">
        <v>2.0</v>
      </c>
      <c r="D6" s="17">
        <v>4.0</v>
      </c>
      <c r="E6" s="17">
        <v>5.0</v>
      </c>
      <c r="F6" s="17">
        <v>7.0</v>
      </c>
      <c r="G6" s="17">
        <v>7.0</v>
      </c>
      <c r="H6" s="17">
        <v>7.0</v>
      </c>
      <c r="I6" s="17">
        <v>12.0</v>
      </c>
      <c r="J6" s="17">
        <v>12.0</v>
      </c>
      <c r="K6" s="17">
        <v>12.0</v>
      </c>
      <c r="L6" s="17">
        <v>12.0</v>
      </c>
      <c r="M6" s="17">
        <v>12.0</v>
      </c>
      <c r="N6" s="17">
        <v>12.0</v>
      </c>
      <c r="O6" s="17">
        <v>12.0</v>
      </c>
      <c r="P6" s="17">
        <v>11.0</v>
      </c>
      <c r="Q6" s="17">
        <v>11.0</v>
      </c>
      <c r="R6" s="17">
        <v>11.0</v>
      </c>
      <c r="S6" s="17"/>
      <c r="T6" s="17"/>
      <c r="U6" s="17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/>
      <c r="AG6" s="17"/>
      <c r="AH6" s="17"/>
      <c r="AI6" s="17"/>
      <c r="AJ6" s="17"/>
      <c r="AK6" s="17"/>
      <c r="AL6" s="17"/>
      <c r="AM6" s="17"/>
      <c r="AN6" s="17"/>
      <c r="AO6" s="17"/>
      <c r="AP6" s="17"/>
      <c r="AQ6" s="17"/>
      <c r="AR6" s="17"/>
      <c r="AS6" s="17"/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17"/>
      <c r="BI6" s="17"/>
      <c r="BJ6" s="17"/>
      <c r="BK6" s="17"/>
      <c r="BL6" s="17"/>
      <c r="BM6" s="17"/>
      <c r="BN6" s="17"/>
      <c r="BO6" s="17"/>
      <c r="BP6" s="17"/>
      <c r="BQ6" s="17"/>
      <c r="BR6" s="17"/>
      <c r="BS6" s="17"/>
      <c r="BT6" s="17"/>
      <c r="BU6" s="17"/>
      <c r="BV6" s="17"/>
      <c r="BW6" s="17"/>
      <c r="BX6" s="17"/>
      <c r="BY6" s="17"/>
      <c r="BZ6" s="17"/>
      <c r="CA6" s="17"/>
      <c r="CB6" s="17"/>
      <c r="CC6" s="17"/>
      <c r="CD6" s="17"/>
      <c r="CE6" s="17"/>
      <c r="CF6" s="17"/>
      <c r="CG6" s="17"/>
      <c r="CH6" s="17"/>
      <c r="CI6" s="17"/>
      <c r="CJ6" s="17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17"/>
      <c r="DK6" s="17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17"/>
      <c r="EL6" s="17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17"/>
      <c r="FM6" s="17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17"/>
      <c r="GN6" s="17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17"/>
      <c r="HO6" s="17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</row>
    <row r="7">
      <c r="B7" s="15" t="s">
        <v>18</v>
      </c>
      <c r="C7" s="17">
        <v>0.0</v>
      </c>
      <c r="D7" s="17">
        <v>0.0</v>
      </c>
      <c r="E7" s="17">
        <v>0.0</v>
      </c>
      <c r="F7" s="17">
        <v>0.0</v>
      </c>
      <c r="G7" s="17">
        <v>0.0</v>
      </c>
      <c r="H7" s="17">
        <v>0.0</v>
      </c>
      <c r="I7" s="17">
        <v>2.0</v>
      </c>
      <c r="J7" s="17">
        <v>2.0</v>
      </c>
      <c r="K7" s="17">
        <v>2.0</v>
      </c>
      <c r="L7" s="17">
        <v>2.0</v>
      </c>
      <c r="M7" s="17">
        <v>2.0</v>
      </c>
      <c r="N7" s="17">
        <v>2.0</v>
      </c>
      <c r="O7" s="17">
        <v>2.0</v>
      </c>
      <c r="P7" s="17">
        <v>2.0</v>
      </c>
      <c r="Q7" s="17">
        <v>2.0</v>
      </c>
      <c r="R7" s="17">
        <v>2.0</v>
      </c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17"/>
      <c r="AQ7" s="17"/>
      <c r="AR7" s="17"/>
      <c r="AS7" s="17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7"/>
      <c r="BI7" s="17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17"/>
      <c r="CJ7" s="17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17"/>
      <c r="DK7" s="17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  <c r="EC7" s="17"/>
      <c r="ED7" s="17"/>
      <c r="EE7" s="17"/>
      <c r="EF7" s="17"/>
      <c r="EG7" s="17"/>
      <c r="EH7" s="17"/>
      <c r="EI7" s="17"/>
      <c r="EJ7" s="17"/>
      <c r="EK7" s="17"/>
      <c r="EL7" s="17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7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17"/>
      <c r="FM7" s="17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17"/>
      <c r="GN7" s="17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  <c r="HD7" s="17"/>
      <c r="HE7" s="17"/>
      <c r="HF7" s="17"/>
      <c r="HG7" s="17"/>
      <c r="HH7" s="17"/>
      <c r="HI7" s="17"/>
      <c r="HJ7" s="17"/>
      <c r="HK7" s="17"/>
      <c r="HL7" s="17"/>
      <c r="HM7" s="17"/>
      <c r="HN7" s="17"/>
      <c r="HO7" s="17"/>
      <c r="HP7" s="17"/>
      <c r="HQ7" s="17"/>
      <c r="HR7" s="17"/>
      <c r="HS7" s="17"/>
      <c r="HT7" s="17"/>
      <c r="HU7" s="17"/>
      <c r="HV7" s="17"/>
      <c r="HW7" s="17"/>
      <c r="HX7" s="17"/>
      <c r="HY7" s="17"/>
      <c r="HZ7" s="17"/>
      <c r="IA7" s="17"/>
    </row>
    <row r="8">
      <c r="C8" s="17"/>
      <c r="M8" s="17">
        <v>47.0</v>
      </c>
    </row>
    <row r="10">
      <c r="C10" s="18">
        <f t="shared" ref="C10:DA10" si="3">C2</f>
        <v>47635</v>
      </c>
      <c r="D10" s="18">
        <f t="shared" si="3"/>
        <v>47642</v>
      </c>
      <c r="E10" s="18">
        <f t="shared" si="3"/>
        <v>47649</v>
      </c>
      <c r="F10" s="18">
        <f t="shared" si="3"/>
        <v>47656</v>
      </c>
      <c r="G10" s="18">
        <f t="shared" si="3"/>
        <v>47663</v>
      </c>
      <c r="H10" s="18">
        <f t="shared" si="3"/>
        <v>47670</v>
      </c>
      <c r="I10" s="18">
        <f t="shared" si="3"/>
        <v>47677</v>
      </c>
      <c r="J10" s="18">
        <f t="shared" si="3"/>
        <v>47684</v>
      </c>
      <c r="K10" s="18">
        <f t="shared" si="3"/>
        <v>47691</v>
      </c>
      <c r="L10" s="18">
        <f t="shared" si="3"/>
        <v>47698</v>
      </c>
      <c r="M10" s="18">
        <f t="shared" si="3"/>
        <v>47705</v>
      </c>
      <c r="N10" s="18">
        <f t="shared" si="3"/>
        <v>47712</v>
      </c>
      <c r="O10" s="18">
        <f t="shared" si="3"/>
        <v>47719</v>
      </c>
      <c r="P10" s="18">
        <f t="shared" si="3"/>
        <v>47726</v>
      </c>
      <c r="Q10" s="18">
        <f t="shared" si="3"/>
        <v>47733</v>
      </c>
      <c r="R10" s="18">
        <f t="shared" si="3"/>
        <v>47740</v>
      </c>
      <c r="S10" s="18">
        <f t="shared" si="3"/>
        <v>47747</v>
      </c>
      <c r="T10" s="18">
        <f t="shared" si="3"/>
        <v>47754</v>
      </c>
      <c r="U10" s="18">
        <f t="shared" si="3"/>
        <v>47761</v>
      </c>
      <c r="V10" s="18">
        <f t="shared" si="3"/>
        <v>47768</v>
      </c>
      <c r="W10" s="18">
        <f t="shared" si="3"/>
        <v>47775</v>
      </c>
      <c r="X10" s="18">
        <f t="shared" si="3"/>
        <v>47782</v>
      </c>
      <c r="Y10" s="18">
        <f t="shared" si="3"/>
        <v>47789</v>
      </c>
      <c r="Z10" s="18">
        <f t="shared" si="3"/>
        <v>47796</v>
      </c>
      <c r="AA10" s="18">
        <f t="shared" si="3"/>
        <v>47803</v>
      </c>
      <c r="AB10" s="18">
        <f t="shared" si="3"/>
        <v>47810</v>
      </c>
      <c r="AC10" s="18">
        <f t="shared" si="3"/>
        <v>47817</v>
      </c>
      <c r="AD10" s="18">
        <f t="shared" si="3"/>
        <v>47824</v>
      </c>
      <c r="AE10" s="18">
        <f t="shared" si="3"/>
        <v>47831</v>
      </c>
      <c r="AF10" s="18">
        <f t="shared" si="3"/>
        <v>47838</v>
      </c>
      <c r="AG10" s="18">
        <f t="shared" si="3"/>
        <v>47845</v>
      </c>
      <c r="AH10" s="18">
        <f t="shared" si="3"/>
        <v>47852</v>
      </c>
      <c r="AI10" s="18">
        <f t="shared" si="3"/>
        <v>47859</v>
      </c>
      <c r="AJ10" s="18">
        <f t="shared" si="3"/>
        <v>47866</v>
      </c>
      <c r="AK10" s="18">
        <f t="shared" si="3"/>
        <v>47873</v>
      </c>
      <c r="AL10" s="18">
        <f t="shared" si="3"/>
        <v>47880</v>
      </c>
      <c r="AM10" s="18">
        <f t="shared" si="3"/>
        <v>47887</v>
      </c>
      <c r="AN10" s="18">
        <f t="shared" si="3"/>
        <v>47894</v>
      </c>
      <c r="AO10" s="18">
        <f t="shared" si="3"/>
        <v>47901</v>
      </c>
      <c r="AP10" s="18">
        <f t="shared" si="3"/>
        <v>47908</v>
      </c>
      <c r="AQ10" s="18">
        <f t="shared" si="3"/>
        <v>47915</v>
      </c>
      <c r="AR10" s="18">
        <f t="shared" si="3"/>
        <v>47922</v>
      </c>
      <c r="AS10" s="18">
        <f t="shared" si="3"/>
        <v>47929</v>
      </c>
      <c r="AT10" s="18">
        <f t="shared" si="3"/>
        <v>47936</v>
      </c>
      <c r="AU10" s="18">
        <f t="shared" si="3"/>
        <v>47943</v>
      </c>
      <c r="AV10" s="18">
        <f t="shared" si="3"/>
        <v>47950</v>
      </c>
      <c r="AW10" s="18">
        <f t="shared" si="3"/>
        <v>47957</v>
      </c>
      <c r="AX10" s="18">
        <f t="shared" si="3"/>
        <v>47964</v>
      </c>
      <c r="AY10" s="18">
        <f t="shared" si="3"/>
        <v>47971</v>
      </c>
      <c r="AZ10" s="18">
        <f t="shared" si="3"/>
        <v>47978</v>
      </c>
      <c r="BA10" s="18">
        <f t="shared" si="3"/>
        <v>47985</v>
      </c>
      <c r="BB10" s="18">
        <f t="shared" si="3"/>
        <v>47992</v>
      </c>
      <c r="BC10" s="18">
        <f t="shared" si="3"/>
        <v>47999</v>
      </c>
      <c r="BD10" s="18">
        <f t="shared" si="3"/>
        <v>48006</v>
      </c>
      <c r="BE10" s="18">
        <f t="shared" si="3"/>
        <v>48013</v>
      </c>
      <c r="BF10" s="18">
        <f t="shared" si="3"/>
        <v>48020</v>
      </c>
      <c r="BG10" s="18">
        <f t="shared" si="3"/>
        <v>48027</v>
      </c>
      <c r="BH10" s="18">
        <f t="shared" si="3"/>
        <v>48034</v>
      </c>
      <c r="BI10" s="18">
        <f t="shared" si="3"/>
        <v>48041</v>
      </c>
      <c r="BJ10" s="18">
        <f t="shared" si="3"/>
        <v>48048</v>
      </c>
      <c r="BK10" s="18">
        <f t="shared" si="3"/>
        <v>48055</v>
      </c>
      <c r="BL10" s="18">
        <f t="shared" si="3"/>
        <v>48062</v>
      </c>
      <c r="BM10" s="18">
        <f t="shared" si="3"/>
        <v>48069</v>
      </c>
      <c r="BN10" s="18">
        <f t="shared" si="3"/>
        <v>48076</v>
      </c>
      <c r="BO10" s="18">
        <f t="shared" si="3"/>
        <v>48083</v>
      </c>
      <c r="BP10" s="18">
        <f t="shared" si="3"/>
        <v>48090</v>
      </c>
      <c r="BQ10" s="18">
        <f t="shared" si="3"/>
        <v>48097</v>
      </c>
      <c r="BR10" s="18">
        <f t="shared" si="3"/>
        <v>48104</v>
      </c>
      <c r="BS10" s="18">
        <f t="shared" si="3"/>
        <v>48111</v>
      </c>
      <c r="BT10" s="18">
        <f t="shared" si="3"/>
        <v>48118</v>
      </c>
      <c r="BU10" s="18">
        <f t="shared" si="3"/>
        <v>48125</v>
      </c>
      <c r="BV10" s="18">
        <f t="shared" si="3"/>
        <v>48132</v>
      </c>
      <c r="BW10" s="18">
        <f t="shared" si="3"/>
        <v>48139</v>
      </c>
      <c r="BX10" s="18">
        <f t="shared" si="3"/>
        <v>48146</v>
      </c>
      <c r="BY10" s="18">
        <f t="shared" si="3"/>
        <v>48153</v>
      </c>
      <c r="BZ10" s="18">
        <f t="shared" si="3"/>
        <v>48160</v>
      </c>
      <c r="CA10" s="18">
        <f t="shared" si="3"/>
        <v>48167</v>
      </c>
      <c r="CB10" s="18">
        <f t="shared" si="3"/>
        <v>48174</v>
      </c>
      <c r="CC10" s="18">
        <f t="shared" si="3"/>
        <v>48181</v>
      </c>
      <c r="CD10" s="18">
        <f t="shared" si="3"/>
        <v>48188</v>
      </c>
      <c r="CE10" s="18">
        <f t="shared" si="3"/>
        <v>48195</v>
      </c>
      <c r="CF10" s="18">
        <f t="shared" si="3"/>
        <v>48202</v>
      </c>
      <c r="CG10" s="18">
        <f t="shared" si="3"/>
        <v>48209</v>
      </c>
      <c r="CH10" s="18">
        <f t="shared" si="3"/>
        <v>48216</v>
      </c>
      <c r="CI10" s="18">
        <f t="shared" si="3"/>
        <v>48223</v>
      </c>
      <c r="CJ10" s="18">
        <f t="shared" si="3"/>
        <v>48230</v>
      </c>
      <c r="CK10" s="18">
        <f t="shared" si="3"/>
        <v>48237</v>
      </c>
      <c r="CL10" s="18">
        <f t="shared" si="3"/>
        <v>48244</v>
      </c>
      <c r="CM10" s="18">
        <f t="shared" si="3"/>
        <v>48251</v>
      </c>
      <c r="CN10" s="18">
        <f t="shared" si="3"/>
        <v>48258</v>
      </c>
      <c r="CO10" s="18">
        <f t="shared" si="3"/>
        <v>48265</v>
      </c>
      <c r="CP10" s="18">
        <f t="shared" si="3"/>
        <v>48272</v>
      </c>
      <c r="CQ10" s="18">
        <f t="shared" si="3"/>
        <v>48279</v>
      </c>
      <c r="CR10" s="18">
        <f t="shared" si="3"/>
        <v>48286</v>
      </c>
      <c r="CS10" s="18">
        <f t="shared" si="3"/>
        <v>48293</v>
      </c>
      <c r="CT10" s="18">
        <f t="shared" si="3"/>
        <v>48300</v>
      </c>
      <c r="CU10" s="18">
        <f t="shared" si="3"/>
        <v>48307</v>
      </c>
      <c r="CV10" s="18">
        <f t="shared" si="3"/>
        <v>48314</v>
      </c>
      <c r="CW10" s="18">
        <f t="shared" si="3"/>
        <v>48321</v>
      </c>
      <c r="CX10" s="18">
        <f t="shared" si="3"/>
        <v>48328</v>
      </c>
      <c r="CY10" s="18">
        <f t="shared" si="3"/>
        <v>48335</v>
      </c>
      <c r="CZ10" s="18">
        <f t="shared" si="3"/>
        <v>48342</v>
      </c>
      <c r="DA10" s="18">
        <f t="shared" si="3"/>
        <v>48349</v>
      </c>
    </row>
    <row r="11">
      <c r="B11" s="15" t="s">
        <v>14</v>
      </c>
      <c r="C11" s="19">
        <f t="shared" ref="C11:DA11" si="4">C3/$C$3</f>
        <v>1</v>
      </c>
      <c r="D11" s="19">
        <f t="shared" si="4"/>
        <v>1</v>
      </c>
      <c r="E11" s="19">
        <f t="shared" si="4"/>
        <v>1</v>
      </c>
      <c r="F11" s="19">
        <f t="shared" si="4"/>
        <v>1</v>
      </c>
      <c r="G11" s="19">
        <f t="shared" si="4"/>
        <v>1</v>
      </c>
      <c r="H11" s="19">
        <f t="shared" si="4"/>
        <v>1</v>
      </c>
      <c r="I11" s="19">
        <f t="shared" si="4"/>
        <v>1</v>
      </c>
      <c r="J11" s="19">
        <f t="shared" si="4"/>
        <v>1</v>
      </c>
      <c r="K11" s="19">
        <f t="shared" si="4"/>
        <v>1</v>
      </c>
      <c r="L11" s="19">
        <f t="shared" si="4"/>
        <v>1</v>
      </c>
      <c r="M11" s="19">
        <f t="shared" si="4"/>
        <v>1</v>
      </c>
      <c r="N11" s="19">
        <f t="shared" si="4"/>
        <v>1</v>
      </c>
      <c r="O11" s="19">
        <f t="shared" si="4"/>
        <v>1</v>
      </c>
      <c r="P11" s="19">
        <f t="shared" si="4"/>
        <v>1</v>
      </c>
      <c r="Q11" s="19">
        <f t="shared" si="4"/>
        <v>1</v>
      </c>
      <c r="R11" s="19">
        <f t="shared" si="4"/>
        <v>1</v>
      </c>
      <c r="S11" s="19">
        <f t="shared" si="4"/>
        <v>1</v>
      </c>
      <c r="T11" s="19">
        <f t="shared" si="4"/>
        <v>1</v>
      </c>
      <c r="U11" s="19">
        <f t="shared" si="4"/>
        <v>1</v>
      </c>
      <c r="V11" s="19">
        <f t="shared" si="4"/>
        <v>1</v>
      </c>
      <c r="W11" s="19">
        <f t="shared" si="4"/>
        <v>1</v>
      </c>
      <c r="X11" s="19">
        <f t="shared" si="4"/>
        <v>1</v>
      </c>
      <c r="Y11" s="19">
        <f t="shared" si="4"/>
        <v>1</v>
      </c>
      <c r="Z11" s="19">
        <f t="shared" si="4"/>
        <v>1</v>
      </c>
      <c r="AA11" s="19">
        <f t="shared" si="4"/>
        <v>1</v>
      </c>
      <c r="AB11" s="19">
        <f t="shared" si="4"/>
        <v>1</v>
      </c>
      <c r="AC11" s="19">
        <f t="shared" si="4"/>
        <v>1</v>
      </c>
      <c r="AD11" s="19">
        <f t="shared" si="4"/>
        <v>1</v>
      </c>
      <c r="AE11" s="19">
        <f t="shared" si="4"/>
        <v>1</v>
      </c>
      <c r="AF11" s="19">
        <f t="shared" si="4"/>
        <v>1</v>
      </c>
      <c r="AG11" s="19">
        <f t="shared" si="4"/>
        <v>1</v>
      </c>
      <c r="AH11" s="19">
        <f t="shared" si="4"/>
        <v>1</v>
      </c>
      <c r="AI11" s="19">
        <f t="shared" si="4"/>
        <v>1</v>
      </c>
      <c r="AJ11" s="19">
        <f t="shared" si="4"/>
        <v>1</v>
      </c>
      <c r="AK11" s="19">
        <f t="shared" si="4"/>
        <v>1</v>
      </c>
      <c r="AL11" s="19">
        <f t="shared" si="4"/>
        <v>1</v>
      </c>
      <c r="AM11" s="19">
        <f t="shared" si="4"/>
        <v>1</v>
      </c>
      <c r="AN11" s="19">
        <f t="shared" si="4"/>
        <v>1</v>
      </c>
      <c r="AO11" s="19">
        <f t="shared" si="4"/>
        <v>1</v>
      </c>
      <c r="AP11" s="19">
        <f t="shared" si="4"/>
        <v>1</v>
      </c>
      <c r="AQ11" s="19">
        <f t="shared" si="4"/>
        <v>1</v>
      </c>
      <c r="AR11" s="19">
        <f t="shared" si="4"/>
        <v>1</v>
      </c>
      <c r="AS11" s="19">
        <f t="shared" si="4"/>
        <v>1</v>
      </c>
      <c r="AT11" s="19">
        <f t="shared" si="4"/>
        <v>1</v>
      </c>
      <c r="AU11" s="19">
        <f t="shared" si="4"/>
        <v>1</v>
      </c>
      <c r="AV11" s="19">
        <f t="shared" si="4"/>
        <v>1</v>
      </c>
      <c r="AW11" s="19">
        <f t="shared" si="4"/>
        <v>1</v>
      </c>
      <c r="AX11" s="19">
        <f t="shared" si="4"/>
        <v>1</v>
      </c>
      <c r="AY11" s="19">
        <f t="shared" si="4"/>
        <v>1</v>
      </c>
      <c r="AZ11" s="19">
        <f t="shared" si="4"/>
        <v>1</v>
      </c>
      <c r="BA11" s="19">
        <f t="shared" si="4"/>
        <v>1</v>
      </c>
      <c r="BB11" s="19">
        <f t="shared" si="4"/>
        <v>1</v>
      </c>
      <c r="BC11" s="19">
        <f t="shared" si="4"/>
        <v>1</v>
      </c>
      <c r="BD11" s="19">
        <f t="shared" si="4"/>
        <v>1</v>
      </c>
      <c r="BE11" s="19">
        <f t="shared" si="4"/>
        <v>1</v>
      </c>
      <c r="BF11" s="19">
        <f t="shared" si="4"/>
        <v>1</v>
      </c>
      <c r="BG11" s="19">
        <f t="shared" si="4"/>
        <v>1</v>
      </c>
      <c r="BH11" s="19">
        <f t="shared" si="4"/>
        <v>1</v>
      </c>
      <c r="BI11" s="19">
        <f t="shared" si="4"/>
        <v>1</v>
      </c>
      <c r="BJ11" s="19">
        <f t="shared" si="4"/>
        <v>1</v>
      </c>
      <c r="BK11" s="19">
        <f t="shared" si="4"/>
        <v>1</v>
      </c>
      <c r="BL11" s="19">
        <f t="shared" si="4"/>
        <v>1</v>
      </c>
      <c r="BM11" s="19">
        <f t="shared" si="4"/>
        <v>1</v>
      </c>
      <c r="BN11" s="19">
        <f t="shared" si="4"/>
        <v>1</v>
      </c>
      <c r="BO11" s="19">
        <f t="shared" si="4"/>
        <v>1</v>
      </c>
      <c r="BP11" s="19">
        <f t="shared" si="4"/>
        <v>1</v>
      </c>
      <c r="BQ11" s="19">
        <f t="shared" si="4"/>
        <v>1</v>
      </c>
      <c r="BR11" s="19">
        <f t="shared" si="4"/>
        <v>1</v>
      </c>
      <c r="BS11" s="19">
        <f t="shared" si="4"/>
        <v>1</v>
      </c>
      <c r="BT11" s="19">
        <f t="shared" si="4"/>
        <v>1</v>
      </c>
      <c r="BU11" s="19">
        <f t="shared" si="4"/>
        <v>1</v>
      </c>
      <c r="BV11" s="19">
        <f t="shared" si="4"/>
        <v>1</v>
      </c>
      <c r="BW11" s="19">
        <f t="shared" si="4"/>
        <v>1</v>
      </c>
      <c r="BX11" s="19">
        <f t="shared" si="4"/>
        <v>1</v>
      </c>
      <c r="BY11" s="19">
        <f t="shared" si="4"/>
        <v>1</v>
      </c>
      <c r="BZ11" s="19">
        <f t="shared" si="4"/>
        <v>1</v>
      </c>
      <c r="CA11" s="19">
        <f t="shared" si="4"/>
        <v>1</v>
      </c>
      <c r="CB11" s="19">
        <f t="shared" si="4"/>
        <v>1</v>
      </c>
      <c r="CC11" s="19">
        <f t="shared" si="4"/>
        <v>1</v>
      </c>
      <c r="CD11" s="19">
        <f t="shared" si="4"/>
        <v>1</v>
      </c>
      <c r="CE11" s="19">
        <f t="shared" si="4"/>
        <v>1</v>
      </c>
      <c r="CF11" s="19">
        <f t="shared" si="4"/>
        <v>1</v>
      </c>
      <c r="CG11" s="19">
        <f t="shared" si="4"/>
        <v>1</v>
      </c>
      <c r="CH11" s="19">
        <f t="shared" si="4"/>
        <v>1</v>
      </c>
      <c r="CI11" s="19">
        <f t="shared" si="4"/>
        <v>1</v>
      </c>
      <c r="CJ11" s="19">
        <f t="shared" si="4"/>
        <v>1</v>
      </c>
      <c r="CK11" s="19">
        <f t="shared" si="4"/>
        <v>1</v>
      </c>
      <c r="CL11" s="19">
        <f t="shared" si="4"/>
        <v>1</v>
      </c>
      <c r="CM11" s="19">
        <f t="shared" si="4"/>
        <v>1</v>
      </c>
      <c r="CN11" s="19">
        <f t="shared" si="4"/>
        <v>1</v>
      </c>
      <c r="CO11" s="19">
        <f t="shared" si="4"/>
        <v>1</v>
      </c>
      <c r="CP11" s="19">
        <f t="shared" si="4"/>
        <v>1</v>
      </c>
      <c r="CQ11" s="19">
        <f t="shared" si="4"/>
        <v>1</v>
      </c>
      <c r="CR11" s="19">
        <f t="shared" si="4"/>
        <v>1</v>
      </c>
      <c r="CS11" s="19">
        <f t="shared" si="4"/>
        <v>1</v>
      </c>
      <c r="CT11" s="19">
        <f t="shared" si="4"/>
        <v>1</v>
      </c>
      <c r="CU11" s="19">
        <f t="shared" si="4"/>
        <v>1</v>
      </c>
      <c r="CV11" s="19">
        <f t="shared" si="4"/>
        <v>1</v>
      </c>
      <c r="CW11" s="19">
        <f t="shared" si="4"/>
        <v>1</v>
      </c>
      <c r="CX11" s="19">
        <f t="shared" si="4"/>
        <v>1</v>
      </c>
      <c r="CY11" s="19">
        <f t="shared" si="4"/>
        <v>1</v>
      </c>
      <c r="CZ11" s="19">
        <f t="shared" si="4"/>
        <v>1</v>
      </c>
      <c r="DA11" s="19">
        <f t="shared" si="4"/>
        <v>1</v>
      </c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</row>
    <row r="12">
      <c r="B12" s="15" t="s">
        <v>15</v>
      </c>
      <c r="C12" s="19">
        <f t="shared" ref="C12:R12" si="5">C4/$C$3</f>
        <v>0.03</v>
      </c>
      <c r="D12" s="19">
        <f t="shared" si="5"/>
        <v>0.07</v>
      </c>
      <c r="E12" s="19">
        <f t="shared" si="5"/>
        <v>0.12</v>
      </c>
      <c r="F12" s="19">
        <f t="shared" si="5"/>
        <v>0.15</v>
      </c>
      <c r="G12" s="19">
        <f t="shared" si="5"/>
        <v>0.18</v>
      </c>
      <c r="H12" s="19">
        <f t="shared" si="5"/>
        <v>0.23</v>
      </c>
      <c r="I12" s="19">
        <f t="shared" si="5"/>
        <v>0.31</v>
      </c>
      <c r="J12" s="19">
        <f t="shared" si="5"/>
        <v>0.32</v>
      </c>
      <c r="K12" s="19">
        <f t="shared" si="5"/>
        <v>0.37</v>
      </c>
      <c r="L12" s="19">
        <f t="shared" si="5"/>
        <v>0.41</v>
      </c>
      <c r="M12" s="19">
        <f t="shared" si="5"/>
        <v>0.45</v>
      </c>
      <c r="N12" s="19">
        <f t="shared" si="5"/>
        <v>0.45</v>
      </c>
      <c r="O12" s="19">
        <f t="shared" si="5"/>
        <v>0.45</v>
      </c>
      <c r="P12" s="19">
        <f t="shared" si="5"/>
        <v>0.48</v>
      </c>
      <c r="Q12" s="19">
        <f t="shared" si="5"/>
        <v>0.53</v>
      </c>
      <c r="R12" s="19">
        <f t="shared" si="5"/>
        <v>0.58</v>
      </c>
      <c r="S12" s="19"/>
      <c r="T12" s="19"/>
      <c r="U12" s="19"/>
      <c r="V12" s="19"/>
      <c r="W12" s="19"/>
      <c r="X12" s="19"/>
      <c r="Y12" s="19"/>
      <c r="Z12" s="19"/>
      <c r="AA12" s="19"/>
      <c r="AB12" s="19"/>
      <c r="AC12" s="19"/>
      <c r="AD12" s="19"/>
      <c r="AE12" s="19"/>
      <c r="AF12" s="19"/>
      <c r="AG12" s="19"/>
      <c r="AH12" s="19"/>
      <c r="AI12" s="19"/>
      <c r="AJ12" s="19"/>
      <c r="AK12" s="19"/>
      <c r="AL12" s="19"/>
      <c r="AM12" s="19"/>
      <c r="AN12" s="19"/>
      <c r="AO12" s="19"/>
      <c r="AP12" s="19"/>
      <c r="AQ12" s="19"/>
      <c r="AR12" s="19"/>
      <c r="AS12" s="19"/>
      <c r="AT12" s="19"/>
      <c r="AU12" s="19"/>
      <c r="AV12" s="19"/>
      <c r="AW12" s="19"/>
      <c r="AX12" s="19"/>
      <c r="AY12" s="19"/>
      <c r="AZ12" s="19"/>
      <c r="BA12" s="19"/>
      <c r="BB12" s="19"/>
      <c r="BC12" s="19"/>
      <c r="BD12" s="19"/>
      <c r="BE12" s="19"/>
      <c r="BF12" s="19"/>
      <c r="BG12" s="19"/>
      <c r="BH12" s="19"/>
      <c r="BI12" s="19"/>
      <c r="BJ12" s="19"/>
      <c r="BK12" s="19"/>
      <c r="BL12" s="19"/>
      <c r="BM12" s="19"/>
      <c r="BN12" s="19"/>
      <c r="BO12" s="19"/>
      <c r="BP12" s="19"/>
      <c r="BQ12" s="19"/>
      <c r="BR12" s="19"/>
      <c r="BS12" s="19"/>
      <c r="BT12" s="19"/>
      <c r="BU12" s="19"/>
      <c r="BV12" s="19"/>
      <c r="BW12" s="19"/>
      <c r="BX12" s="19"/>
      <c r="BY12" s="19"/>
      <c r="BZ12" s="19"/>
      <c r="CA12" s="19"/>
      <c r="CB12" s="19"/>
      <c r="CC12" s="19"/>
      <c r="CD12" s="19"/>
      <c r="CE12" s="19"/>
      <c r="CF12" s="19"/>
      <c r="CG12" s="19"/>
      <c r="CH12" s="19"/>
      <c r="CI12" s="19"/>
      <c r="CJ12" s="19"/>
      <c r="CK12" s="19"/>
      <c r="CL12" s="19"/>
      <c r="CM12" s="19"/>
      <c r="CN12" s="19"/>
      <c r="CO12" s="19"/>
      <c r="CP12" s="19"/>
      <c r="CQ12" s="19"/>
      <c r="CR12" s="19"/>
      <c r="CS12" s="19"/>
      <c r="CT12" s="19"/>
      <c r="CU12" s="19"/>
      <c r="CV12" s="19"/>
      <c r="CW12" s="19"/>
      <c r="CX12" s="19"/>
      <c r="CY12" s="19"/>
      <c r="CZ12" s="19"/>
      <c r="DA12" s="19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/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</row>
    <row r="13">
      <c r="B13" s="15" t="s">
        <v>16</v>
      </c>
      <c r="C13" s="19">
        <f t="shared" ref="C13:R13" si="6">C5/$C$3</f>
        <v>0.01</v>
      </c>
      <c r="D13" s="19">
        <f t="shared" si="6"/>
        <v>0.03</v>
      </c>
      <c r="E13" s="19">
        <f t="shared" si="6"/>
        <v>0.07</v>
      </c>
      <c r="F13" s="19">
        <f t="shared" si="6"/>
        <v>0.08</v>
      </c>
      <c r="G13" s="19">
        <f t="shared" si="6"/>
        <v>0.11</v>
      </c>
      <c r="H13" s="19">
        <f t="shared" si="6"/>
        <v>0.16</v>
      </c>
      <c r="I13" s="19">
        <f t="shared" si="6"/>
        <v>0.17</v>
      </c>
      <c r="J13" s="19">
        <f t="shared" si="6"/>
        <v>0.18</v>
      </c>
      <c r="K13" s="19">
        <f t="shared" si="6"/>
        <v>0.23</v>
      </c>
      <c r="L13" s="19">
        <f t="shared" si="6"/>
        <v>0.27</v>
      </c>
      <c r="M13" s="19">
        <f t="shared" si="6"/>
        <v>0.31</v>
      </c>
      <c r="N13" s="19">
        <f t="shared" si="6"/>
        <v>0.31</v>
      </c>
      <c r="O13" s="19">
        <f t="shared" si="6"/>
        <v>0.31</v>
      </c>
      <c r="P13" s="19">
        <f t="shared" si="6"/>
        <v>0.35</v>
      </c>
      <c r="Q13" s="19">
        <f t="shared" si="6"/>
        <v>0.4</v>
      </c>
      <c r="R13" s="19">
        <f t="shared" si="6"/>
        <v>0.45</v>
      </c>
      <c r="S13" s="19"/>
      <c r="T13" s="19"/>
      <c r="U13" s="19"/>
      <c r="V13" s="19"/>
      <c r="W13" s="19"/>
      <c r="X13" s="19"/>
      <c r="Y13" s="19"/>
      <c r="Z13" s="19"/>
      <c r="AA13" s="19"/>
      <c r="AB13" s="19"/>
      <c r="AC13" s="19"/>
      <c r="AD13" s="19"/>
      <c r="AE13" s="19"/>
      <c r="AF13" s="19"/>
      <c r="AG13" s="19"/>
      <c r="AH13" s="19"/>
      <c r="AI13" s="19"/>
      <c r="AJ13" s="19"/>
      <c r="AK13" s="19"/>
      <c r="AL13" s="19"/>
      <c r="AM13" s="19"/>
      <c r="AN13" s="19"/>
      <c r="AO13" s="19"/>
      <c r="AP13" s="19"/>
      <c r="AQ13" s="19"/>
      <c r="AR13" s="19"/>
      <c r="AS13" s="19"/>
      <c r="AT13" s="19"/>
      <c r="AU13" s="19"/>
      <c r="AV13" s="19"/>
      <c r="AW13" s="19"/>
      <c r="AX13" s="19"/>
      <c r="AY13" s="19"/>
      <c r="AZ13" s="19"/>
      <c r="BA13" s="19"/>
      <c r="BB13" s="19"/>
      <c r="BC13" s="19"/>
      <c r="BD13" s="19"/>
      <c r="BE13" s="19"/>
      <c r="BF13" s="19"/>
      <c r="BG13" s="19"/>
      <c r="BH13" s="19"/>
      <c r="BI13" s="19"/>
      <c r="BJ13" s="19"/>
      <c r="BK13" s="19"/>
      <c r="BL13" s="19"/>
      <c r="BM13" s="19"/>
      <c r="BN13" s="19"/>
      <c r="BO13" s="19"/>
      <c r="BP13" s="19"/>
      <c r="BQ13" s="19"/>
      <c r="BR13" s="19"/>
      <c r="BS13" s="19"/>
      <c r="BT13" s="19"/>
      <c r="BU13" s="19"/>
      <c r="BV13" s="19"/>
      <c r="BW13" s="19"/>
      <c r="BX13" s="19"/>
      <c r="BY13" s="19"/>
      <c r="BZ13" s="19"/>
      <c r="CA13" s="19"/>
      <c r="CB13" s="19"/>
      <c r="CC13" s="19"/>
      <c r="CD13" s="19"/>
      <c r="CE13" s="19"/>
      <c r="CF13" s="19"/>
      <c r="CG13" s="19"/>
      <c r="CH13" s="19"/>
      <c r="CI13" s="19"/>
      <c r="CJ13" s="19"/>
      <c r="CK13" s="19"/>
      <c r="CL13" s="19"/>
      <c r="CM13" s="19"/>
      <c r="CN13" s="19"/>
      <c r="CO13" s="19"/>
      <c r="CP13" s="19"/>
      <c r="CQ13" s="19"/>
      <c r="CR13" s="19"/>
      <c r="CS13" s="19"/>
      <c r="CT13" s="19"/>
      <c r="CU13" s="19"/>
      <c r="CV13" s="19"/>
      <c r="CW13" s="19"/>
      <c r="CX13" s="19"/>
      <c r="CY13" s="19"/>
      <c r="CZ13" s="19"/>
      <c r="DA13" s="19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/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</row>
    <row r="14">
      <c r="B14" s="15" t="s">
        <v>17</v>
      </c>
      <c r="C14" s="19">
        <f t="shared" ref="C14:R14" si="7">C6/$C$3</f>
        <v>0.02</v>
      </c>
      <c r="D14" s="19">
        <f t="shared" si="7"/>
        <v>0.04</v>
      </c>
      <c r="E14" s="19">
        <f t="shared" si="7"/>
        <v>0.05</v>
      </c>
      <c r="F14" s="19">
        <f t="shared" si="7"/>
        <v>0.07</v>
      </c>
      <c r="G14" s="19">
        <f t="shared" si="7"/>
        <v>0.07</v>
      </c>
      <c r="H14" s="19">
        <f t="shared" si="7"/>
        <v>0.07</v>
      </c>
      <c r="I14" s="19">
        <f t="shared" si="7"/>
        <v>0.12</v>
      </c>
      <c r="J14" s="19">
        <f t="shared" si="7"/>
        <v>0.12</v>
      </c>
      <c r="K14" s="19">
        <f t="shared" si="7"/>
        <v>0.12</v>
      </c>
      <c r="L14" s="19">
        <f t="shared" si="7"/>
        <v>0.12</v>
      </c>
      <c r="M14" s="19">
        <f t="shared" si="7"/>
        <v>0.12</v>
      </c>
      <c r="N14" s="19">
        <f t="shared" si="7"/>
        <v>0.12</v>
      </c>
      <c r="O14" s="19">
        <f t="shared" si="7"/>
        <v>0.12</v>
      </c>
      <c r="P14" s="19">
        <f t="shared" si="7"/>
        <v>0.11</v>
      </c>
      <c r="Q14" s="19">
        <f t="shared" si="7"/>
        <v>0.11</v>
      </c>
      <c r="R14" s="19">
        <f t="shared" si="7"/>
        <v>0.11</v>
      </c>
      <c r="S14" s="19"/>
      <c r="T14" s="19"/>
      <c r="U14" s="19"/>
      <c r="V14" s="19"/>
      <c r="W14" s="19"/>
      <c r="X14" s="19"/>
      <c r="Y14" s="19"/>
      <c r="Z14" s="19"/>
      <c r="AA14" s="19"/>
      <c r="AB14" s="19"/>
      <c r="AC14" s="19"/>
      <c r="AD14" s="19"/>
      <c r="AE14" s="19"/>
      <c r="AF14" s="19"/>
      <c r="AG14" s="19"/>
      <c r="AH14" s="19"/>
      <c r="AI14" s="19"/>
      <c r="AJ14" s="19"/>
      <c r="AK14" s="19"/>
      <c r="AL14" s="19"/>
      <c r="AM14" s="19"/>
      <c r="AN14" s="19"/>
      <c r="AO14" s="19"/>
      <c r="AP14" s="19"/>
      <c r="AQ14" s="19"/>
      <c r="AR14" s="19"/>
      <c r="AS14" s="19"/>
      <c r="AT14" s="19"/>
      <c r="AU14" s="19"/>
      <c r="AV14" s="19"/>
      <c r="AW14" s="19"/>
      <c r="AX14" s="19"/>
      <c r="AY14" s="19"/>
      <c r="AZ14" s="19"/>
      <c r="BA14" s="19"/>
      <c r="BB14" s="19"/>
      <c r="BC14" s="19"/>
      <c r="BD14" s="19"/>
      <c r="BE14" s="19"/>
      <c r="BF14" s="19"/>
      <c r="BG14" s="19"/>
      <c r="BH14" s="19"/>
      <c r="BI14" s="19"/>
      <c r="BJ14" s="19"/>
      <c r="BK14" s="19"/>
      <c r="BL14" s="19"/>
      <c r="BM14" s="19"/>
      <c r="BN14" s="19"/>
      <c r="BO14" s="19"/>
      <c r="BP14" s="19"/>
      <c r="BQ14" s="19"/>
      <c r="BR14" s="19"/>
      <c r="BS14" s="19"/>
      <c r="BT14" s="19"/>
      <c r="BU14" s="19"/>
      <c r="BV14" s="19"/>
      <c r="BW14" s="19"/>
      <c r="BX14" s="19"/>
      <c r="BY14" s="19"/>
      <c r="BZ14" s="19"/>
      <c r="CA14" s="19"/>
      <c r="CB14" s="19"/>
      <c r="CC14" s="19"/>
      <c r="CD14" s="19"/>
      <c r="CE14" s="19"/>
      <c r="CF14" s="19"/>
      <c r="CG14" s="19"/>
      <c r="CH14" s="19"/>
      <c r="CI14" s="19"/>
      <c r="CJ14" s="19"/>
      <c r="CK14" s="19"/>
      <c r="CL14" s="19"/>
      <c r="CM14" s="19"/>
      <c r="CN14" s="19"/>
      <c r="CO14" s="19"/>
      <c r="CP14" s="19"/>
      <c r="CQ14" s="19"/>
      <c r="CR14" s="19"/>
      <c r="CS14" s="19"/>
      <c r="CT14" s="19"/>
      <c r="CU14" s="19"/>
      <c r="CV14" s="19"/>
      <c r="CW14" s="19"/>
      <c r="CX14" s="19"/>
      <c r="CY14" s="19"/>
      <c r="CZ14" s="19"/>
      <c r="DA14" s="19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/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</row>
    <row r="15">
      <c r="B15" s="15" t="s">
        <v>18</v>
      </c>
      <c r="C15" s="19">
        <f t="shared" ref="C15:R15" si="8">C7/$C$3</f>
        <v>0</v>
      </c>
      <c r="D15" s="19">
        <f t="shared" si="8"/>
        <v>0</v>
      </c>
      <c r="E15" s="19">
        <f t="shared" si="8"/>
        <v>0</v>
      </c>
      <c r="F15" s="19">
        <f t="shared" si="8"/>
        <v>0</v>
      </c>
      <c r="G15" s="19">
        <f t="shared" si="8"/>
        <v>0</v>
      </c>
      <c r="H15" s="19">
        <f t="shared" si="8"/>
        <v>0</v>
      </c>
      <c r="I15" s="19">
        <f t="shared" si="8"/>
        <v>0.02</v>
      </c>
      <c r="J15" s="19">
        <f t="shared" si="8"/>
        <v>0.02</v>
      </c>
      <c r="K15" s="19">
        <f t="shared" si="8"/>
        <v>0.02</v>
      </c>
      <c r="L15" s="19">
        <f t="shared" si="8"/>
        <v>0.02</v>
      </c>
      <c r="M15" s="19">
        <f t="shared" si="8"/>
        <v>0.02</v>
      </c>
      <c r="N15" s="19">
        <f t="shared" si="8"/>
        <v>0.02</v>
      </c>
      <c r="O15" s="19">
        <f t="shared" si="8"/>
        <v>0.02</v>
      </c>
      <c r="P15" s="19">
        <f t="shared" si="8"/>
        <v>0.02</v>
      </c>
      <c r="Q15" s="19">
        <f t="shared" si="8"/>
        <v>0.02</v>
      </c>
      <c r="R15" s="19">
        <f t="shared" si="8"/>
        <v>0.02</v>
      </c>
      <c r="S15" s="19"/>
      <c r="T15" s="19"/>
      <c r="U15" s="19"/>
      <c r="V15" s="19"/>
      <c r="W15" s="19"/>
      <c r="X15" s="19"/>
      <c r="Y15" s="19"/>
      <c r="Z15" s="19"/>
      <c r="AA15" s="19"/>
      <c r="AB15" s="19"/>
      <c r="AC15" s="19"/>
      <c r="AD15" s="19"/>
      <c r="AE15" s="19"/>
      <c r="AF15" s="19"/>
      <c r="AG15" s="19"/>
      <c r="AH15" s="19"/>
      <c r="AI15" s="19"/>
      <c r="AJ15" s="19"/>
      <c r="AK15" s="19"/>
      <c r="AL15" s="19"/>
      <c r="AM15" s="19"/>
      <c r="AN15" s="19"/>
      <c r="AO15" s="19"/>
      <c r="AP15" s="19"/>
      <c r="AQ15" s="19"/>
      <c r="AR15" s="19"/>
      <c r="AS15" s="19"/>
      <c r="AT15" s="19"/>
      <c r="AU15" s="19"/>
      <c r="AV15" s="19"/>
      <c r="AW15" s="19"/>
      <c r="AX15" s="19"/>
      <c r="AY15" s="19"/>
      <c r="AZ15" s="19"/>
      <c r="BA15" s="19"/>
      <c r="BB15" s="19"/>
      <c r="BC15" s="19"/>
      <c r="BD15" s="19"/>
      <c r="BE15" s="19"/>
      <c r="BF15" s="19"/>
      <c r="BG15" s="19"/>
      <c r="BH15" s="19"/>
      <c r="BI15" s="19"/>
      <c r="BJ15" s="19"/>
      <c r="BK15" s="19"/>
      <c r="BL15" s="19"/>
      <c r="BM15" s="19"/>
      <c r="BN15" s="19"/>
      <c r="BO15" s="19"/>
      <c r="BP15" s="19"/>
      <c r="BQ15" s="19"/>
      <c r="BR15" s="19"/>
      <c r="BS15" s="19"/>
      <c r="BT15" s="19"/>
      <c r="BU15" s="19"/>
      <c r="BV15" s="19"/>
      <c r="BW15" s="19"/>
      <c r="BX15" s="19"/>
      <c r="BY15" s="19"/>
      <c r="BZ15" s="19"/>
      <c r="CA15" s="19"/>
      <c r="CB15" s="19"/>
      <c r="CC15" s="19"/>
      <c r="CD15" s="19"/>
      <c r="CE15" s="19"/>
      <c r="CF15" s="19"/>
      <c r="CG15" s="19"/>
      <c r="CH15" s="19"/>
      <c r="CI15" s="19"/>
      <c r="CJ15" s="19"/>
      <c r="CK15" s="19"/>
      <c r="CL15" s="19"/>
      <c r="CM15" s="19"/>
      <c r="CN15" s="19"/>
      <c r="CO15" s="19"/>
      <c r="CP15" s="19"/>
      <c r="CQ15" s="19"/>
      <c r="CR15" s="19"/>
      <c r="CS15" s="19"/>
      <c r="CT15" s="19"/>
      <c r="CU15" s="19"/>
      <c r="CV15" s="19"/>
      <c r="CW15" s="19"/>
      <c r="CX15" s="19"/>
      <c r="CY15" s="19"/>
      <c r="CZ15" s="19"/>
      <c r="DA15" s="19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