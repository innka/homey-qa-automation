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  <sheet state="visible" name="Diagrammes" sheetId="2" r:id="rId5"/>
    <sheet state="visible" name="Analyse" sheetId="3" r:id="rId6"/>
  </sheets>
  <definedNames>
    <definedName name="_xlchart.v1.3">'Données'!$D$4:$D$11</definedName>
    <definedName name="_xlchart.v1.1">'Données'!$D$4:$D$11</definedName>
    <definedName name="_xlchart.v1.2">'Données'!$B$4:$C$11</definedName>
    <definedName name="_xlchart.v1.0">'Données'!$B$4:$C$11</definedName>
  </definedNames>
  <calcPr/>
  <extLst>
    <ext uri="GoogleSheetsCustomDataVersion2">
      <go:sheetsCustomData xmlns:go="http://customooxmlschemas.google.com/" r:id="rId7" roundtripDataChecksum="PHeWhCTxoe4XU37vO6Kk3+rLxI/jIvCNXLukMS0FbAs="/>
    </ext>
  </extLst>
</workbook>
</file>

<file path=xl/sharedStrings.xml><?xml version="1.0" encoding="utf-8"?>
<sst xmlns="http://schemas.openxmlformats.org/spreadsheetml/2006/main" count="75" uniqueCount="58">
  <si>
    <t>Périmètre du projet</t>
  </si>
  <si>
    <t>Modules</t>
  </si>
  <si>
    <t>Exigences</t>
  </si>
  <si>
    <t>Taille</t>
  </si>
  <si>
    <t>Valide</t>
  </si>
  <si>
    <t>Testé</t>
  </si>
  <si>
    <t>Conforme</t>
  </si>
  <si>
    <t>Non conforme</t>
  </si>
  <si>
    <t>Conf (taille)</t>
  </si>
  <si>
    <t>NonConf (taille)</t>
  </si>
  <si>
    <t>Recherche</t>
  </si>
  <si>
    <t>Réaliser une recherche simple</t>
  </si>
  <si>
    <t>Gestion des annonces</t>
  </si>
  <si>
    <t>Créer une annonce</t>
  </si>
  <si>
    <t>Gestion des comptes</t>
  </si>
  <si>
    <t>S'inscrire</t>
  </si>
  <si>
    <t>Se connecter</t>
  </si>
  <si>
    <t>Devenir hôte</t>
  </si>
  <si>
    <t>Régénérer un mot de passe</t>
  </si>
  <si>
    <t>Gestion des réservations</t>
  </si>
  <si>
    <t>Faire une demande de réservation</t>
  </si>
  <si>
    <t>Traiter une demande de réservation</t>
  </si>
  <si>
    <t>Total</t>
  </si>
  <si>
    <t>Avancement des tests par exigence</t>
  </si>
  <si>
    <t>Tests</t>
  </si>
  <si>
    <t>Défauts</t>
  </si>
  <si>
    <t>OK</t>
  </si>
  <si>
    <t>KO</t>
  </si>
  <si>
    <t>Non testable</t>
  </si>
  <si>
    <t>Non exécuté</t>
  </si>
  <si>
    <t>TOTAL</t>
  </si>
  <si>
    <t>Bloquantes</t>
  </si>
  <si>
    <t>Majeures</t>
  </si>
  <si>
    <t>Mineures</t>
  </si>
  <si>
    <t>Objectifs</t>
  </si>
  <si>
    <t>% OK</t>
  </si>
  <si>
    <t>% KO</t>
  </si>
  <si>
    <t>% Non testable</t>
  </si>
  <si>
    <t>% Non exécuté</t>
  </si>
  <si>
    <t>Validé</t>
  </si>
  <si>
    <t>Préparé %</t>
  </si>
  <si>
    <t>Exécuté %</t>
  </si>
  <si>
    <t>A exécuter %</t>
  </si>
  <si>
    <t>A préparer %</t>
  </si>
  <si>
    <t>Préparé</t>
  </si>
  <si>
    <t>Exécuté</t>
  </si>
  <si>
    <t>A exécuter</t>
  </si>
  <si>
    <t>A préparer</t>
  </si>
  <si>
    <t>NB bogues créés</t>
  </si>
  <si>
    <t>Avancement de la conformité globale (qualité)</t>
  </si>
  <si>
    <t>NB</t>
  </si>
  <si>
    <t>Pourcentage</t>
  </si>
  <si>
    <t>Toutes les exigences</t>
  </si>
  <si>
    <t>Conformes</t>
  </si>
  <si>
    <t>Non conformes</t>
  </si>
  <si>
    <t>Avancement global des tests</t>
  </si>
  <si>
    <t>KO+NT</t>
  </si>
  <si>
    <t>A 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</si>
</sst>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rgb="FFFFFFFF"/>
      <name val="Aptos Narrow"/>
      <scheme val="minor"/>
    </font>
    <font>
      <sz val="11.0"/>
      <color rgb="FFFFFFFF"/>
      <name val="Aptos Narrow"/>
    </font>
    <font>
      <color theme="1"/>
      <name val="Aptos Narrow"/>
      <scheme val="minor"/>
    </font>
    <font>
      <sz val="11.0"/>
      <color theme="4"/>
      <name val="Aptos Narrow"/>
    </font>
    <font>
      <sz val="11.0"/>
      <color theme="1"/>
      <name val="Arial"/>
    </font>
    <font>
      <b/>
      <sz val="11.0"/>
      <color theme="4"/>
      <name val="Aptos Narrow"/>
    </font>
    <font/>
    <font>
      <sz val="11.0"/>
      <color rgb="FF0070C0"/>
      <name val="Arial"/>
    </font>
    <font>
      <sz val="11.0"/>
      <color rgb="FF0070C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1" fillId="3" fontId="1" numFmtId="0" xfId="0" applyBorder="1" applyFill="1" applyFont="1"/>
    <xf borderId="1" fillId="3" fontId="1" numFmtId="9" xfId="0" applyBorder="1" applyFont="1" applyNumberFormat="1"/>
    <xf borderId="1" fillId="3" fontId="7" numFmtId="0" xfId="0" applyAlignment="1" applyBorder="1" applyFont="1">
      <alignment readingOrder="0"/>
    </xf>
    <xf borderId="0" fillId="0" fontId="2" numFmtId="0" xfId="0" applyFont="1"/>
    <xf borderId="0" fillId="0" fontId="8" numFmtId="0" xfId="0" applyAlignment="1" applyFont="1">
      <alignment horizontal="center" vertical="center"/>
    </xf>
    <xf borderId="1" fillId="3" fontId="2" numFmtId="0" xfId="0" applyBorder="1" applyFont="1"/>
    <xf borderId="1" fillId="3" fontId="2" numFmtId="9" xfId="0" applyBorder="1" applyFont="1" applyNumberFormat="1"/>
    <xf borderId="1" fillId="2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0" fillId="0" fontId="5" numFmtId="0" xfId="0" applyFont="1"/>
    <xf borderId="1" fillId="3" fontId="1" numFmtId="0" xfId="0" applyBorder="1" applyFont="1"/>
    <xf borderId="9" fillId="0" fontId="10" numFmtId="0" xfId="0" applyAlignment="1" applyBorder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10" fillId="3" fontId="1" numFmtId="0" xfId="0" applyBorder="1" applyFont="1"/>
    <xf borderId="11" fillId="3" fontId="1" numFmtId="0" xfId="0" applyBorder="1" applyFont="1"/>
    <xf borderId="0" fillId="0" fontId="11" numFmtId="0" xfId="0" applyAlignment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3" fillId="0" fontId="1" numFmtId="9" xfId="0" applyAlignment="1" applyBorder="1" applyFont="1" applyNumberFormat="1">
      <alignment horizontal="center" vertical="center"/>
    </xf>
    <xf borderId="1" fillId="3" fontId="1" numFmtId="9" xfId="0" applyBorder="1" applyFont="1" applyNumberFormat="1"/>
    <xf borderId="1" fillId="3" fontId="2" numFmtId="0" xfId="0" applyBorder="1" applyFont="1"/>
    <xf borderId="13" fillId="0" fontId="7" numFmtId="9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8" fontId="2" numFmtId="0" xfId="0" applyBorder="1" applyFill="1" applyFont="1"/>
    <xf borderId="16" fillId="0" fontId="2" numFmtId="9" xfId="0" applyBorder="1" applyFont="1" applyNumberFormat="1"/>
    <xf borderId="0" fillId="0" fontId="2" numFmtId="9" xfId="0" applyFont="1" applyNumberFormat="1"/>
    <xf borderId="0" fillId="0" fontId="2" numFmtId="0" xfId="0" applyFont="1"/>
    <xf borderId="0" fillId="0" fontId="1" numFmtId="0" xfId="0" applyAlignment="1" applyFont="1">
      <alignment horizontal="center" vertical="center"/>
    </xf>
    <xf borderId="7" fillId="0" fontId="1" numFmtId="9" xfId="0" applyBorder="1" applyFont="1" applyNumberFormat="1"/>
    <xf borderId="9" fillId="0" fontId="1" numFmtId="0" xfId="0" applyBorder="1" applyFont="1"/>
    <xf borderId="12" fillId="0" fontId="1" numFmtId="9" xfId="0" applyBorder="1" applyFont="1" applyNumberFormat="1"/>
    <xf borderId="14" fillId="0" fontId="1" numFmtId="0" xfId="0" applyBorder="1" applyFont="1"/>
    <xf borderId="17" fillId="0" fontId="1" numFmtId="9" xfId="0" applyBorder="1" applyFont="1" applyNumberFormat="1"/>
    <xf borderId="0" fillId="0" fontId="1" numFmtId="9" xfId="0" applyFont="1" applyNumberFormat="1"/>
    <xf borderId="0" fillId="0" fontId="7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>
    <tableStyle count="3" pivot="0" name="Donné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Camembert sur la conformité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'Données'!$B$61:$B$62</c:f>
            </c:strRef>
          </c:cat>
          <c:val>
            <c:numRef>
              <c:f>'Données'!$C$61:$C$62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Graphique des résultats de tests
Résultats globaux des tests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1" i="0" sz="1000">
                        <a:solidFill>
                          <a:schemeClr val="lt1"/>
                        </a:solidFill>
                        <a:latin typeface="+mn-lt"/>
                      </a:defRPr>
                    </a:pPr>
                    <a:r>
                      <a:rPr b="1" i="0" sz="1000">
                        <a:solidFill>
                          <a:schemeClr val="lt1"/>
                        </a:solidFill>
                        <a:latin typeface="+mn-lt"/>
                      </a:rPr>
                      <a:t>KO; 5%;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'Données'!$B$78:$B$81</c:f>
            </c:strRef>
          </c:cat>
          <c:val>
            <c:numRef>
              <c:f>'Données'!$C$78:$C$81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Diagramme combiné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% OK</c:v>
          </c:tx>
          <c:spPr>
            <a:solidFill>
              <a:srgbClr val="92D050"/>
            </a:solidFill>
            <a:ln cmpd="sng">
              <a:noFill/>
            </a:ln>
          </c:spPr>
          <c:dPt>
            <c:idx val="0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'Données'!$N$17:$N$24</c:f>
              <c:numCache/>
            </c:numRef>
          </c:val>
        </c:ser>
        <c:ser>
          <c:idx val="1"/>
          <c:order val="1"/>
          <c:tx>
            <c:v>% KO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'Données'!$O$17:$O$24</c:f>
              <c:numCache/>
            </c:numRef>
          </c:val>
        </c:ser>
        <c:ser>
          <c:idx val="2"/>
          <c:order val="2"/>
          <c:tx>
            <c:v>% Non testable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'Données'!$P$17:$P$24</c:f>
              <c:numCache/>
            </c:numRef>
          </c:val>
        </c:ser>
        <c:ser>
          <c:idx val="3"/>
          <c:order val="3"/>
          <c:tx>
            <c:v>% Non exécuté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'Données'!$Q$17:$Q$24</c:f>
              <c:numCache/>
            </c:numRef>
          </c:val>
        </c:ser>
        <c:ser>
          <c:idx val="4"/>
          <c:order val="4"/>
          <c:tx>
            <c:v>Bloquantes</c:v>
          </c:tx>
          <c:spPr>
            <a:solidFill>
              <a:srgbClr val="E06666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'Données'!$J$17:$J$24</c:f>
              <c:numCache/>
            </c:numRef>
          </c:val>
        </c:ser>
        <c:overlap val="100"/>
        <c:axId val="1745984837"/>
        <c:axId val="1235266923"/>
      </c:barChart>
      <c:catAx>
        <c:axId val="1745984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out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5266923"/>
      </c:catAx>
      <c:valAx>
        <c:axId val="123526692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Résultats des tests (en 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598483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Camembert sur la conformité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'Données'!$B$61:$B$62</c:f>
            </c:strRef>
          </c:cat>
          <c:val>
            <c:numRef>
              <c:f>'Données'!$C$61:$C$62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Avancement des tests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rgbClr val="C00000"/>
              </a:solidFill>
            </c:spPr>
          </c:dPt>
          <c:dPt>
            <c:idx val="2"/>
            <c:spPr>
              <a:solidFill>
                <a:srgbClr val="7030A0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Lbls>
            <c:dLbl>
              <c:idx val="1"/>
              <c:tx>
                <c:rich>
                  <a:bodyPr/>
                  <a:lstStyle/>
                  <a:p>
                    <a:pPr lvl="0">
                      <a:defRPr b="1" i="0" sz="1000">
                        <a:solidFill>
                          <a:schemeClr val="lt1"/>
                        </a:solidFill>
                        <a:latin typeface="+mn-lt"/>
                      </a:defRPr>
                    </a:pPr>
                    <a:r>
                      <a:rPr b="1" i="0" sz="1000">
                        <a:solidFill>
                          <a:schemeClr val="lt1"/>
                        </a:solidFill>
                        <a:latin typeface="+mn-lt"/>
                      </a:rPr>
                      <a:t>[REFCELL];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'Données'!$B$78:$B$81</c:f>
            </c:strRef>
          </c:cat>
          <c:val>
            <c:numRef>
              <c:f>'Données'!$C$78:$C$81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Diagramme combiné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% OK</c:v>
          </c:tx>
          <c:spPr>
            <a:solidFill>
              <a:srgbClr val="92D050"/>
            </a:solidFill>
            <a:ln cmpd="sng">
              <a:noFill/>
            </a:ln>
          </c:spPr>
          <c:dPt>
            <c:idx val="0"/>
            <c:spPr>
              <a:solidFill>
                <a:srgbClr val="92D05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'Données'!$N$17:$N$24</c:f>
              <c:numCache/>
            </c:numRef>
          </c:val>
        </c:ser>
        <c:ser>
          <c:idx val="1"/>
          <c:order val="1"/>
          <c:tx>
            <c:v>% KO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'Données'!$O$17:$O$24</c:f>
              <c:numCache/>
            </c:numRef>
          </c:val>
        </c:ser>
        <c:ser>
          <c:idx val="2"/>
          <c:order val="2"/>
          <c:tx>
            <c:v>% Non testable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'Données'!$P$17:$P$24</c:f>
              <c:numCache/>
            </c:numRef>
          </c:val>
        </c:ser>
        <c:ser>
          <c:idx val="3"/>
          <c:order val="3"/>
          <c:tx>
            <c:v>% Non exécuté</c:v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'Données'!$Q$17:$Q$24</c:f>
              <c:numCache/>
            </c:numRef>
          </c:val>
        </c:ser>
        <c:ser>
          <c:idx val="4"/>
          <c:order val="4"/>
          <c:tx>
            <c:v>Bloquantes</c:v>
          </c:tx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'Données'!$C$17:$C$24</c:f>
            </c:strRef>
          </c:cat>
          <c:val>
            <c:numRef>
              <c:f>'Données'!$J$17:$J$24</c:f>
              <c:numCache/>
            </c:numRef>
          </c:val>
        </c:ser>
        <c:overlap val="100"/>
        <c:axId val="1767489023"/>
        <c:axId val="78143677"/>
      </c:barChart>
      <c:catAx>
        <c:axId val="176748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out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143677"/>
      </c:catAx>
      <c:valAx>
        <c:axId val="7814367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Résultats des tests (en 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748902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Avancement des tests</a:t>
            </a:r>
          </a:p>
        </c:rich>
      </c:tx>
      <c:overlay val="0"/>
    </c:title>
    <c:plotArea>
      <c:layout/>
      <c:lineChart>
        <c:ser>
          <c:idx val="0"/>
          <c:order val="0"/>
          <c:tx>
            <c:v>OK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Analyse!$B$10:$T$10</c:f>
            </c:strRef>
          </c:cat>
          <c:val>
            <c:numRef>
              <c:f>Analyse!$B$13:$T$13</c:f>
              <c:numCache/>
            </c:numRef>
          </c:val>
          <c:smooth val="0"/>
        </c:ser>
        <c:ser>
          <c:idx val="1"/>
          <c:order val="1"/>
          <c:tx>
            <c:v>KO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Analyse!$B$10:$T$10</c:f>
            </c:strRef>
          </c:cat>
          <c:val>
            <c:numRef>
              <c:f>Analyse!$B$14:$T$14</c:f>
              <c:numCache/>
            </c:numRef>
          </c:val>
          <c:smooth val="0"/>
        </c:ser>
        <c:ser>
          <c:idx val="2"/>
          <c:order val="2"/>
          <c:tx>
            <c:v>Non testable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Analyse!$B$10:$T$10</c:f>
            </c:strRef>
          </c:cat>
          <c:val>
            <c:numRef>
              <c:f>Analyse!$B$15:$T$15</c:f>
              <c:numCache/>
            </c:numRef>
          </c:val>
          <c:smooth val="0"/>
        </c:ser>
        <c:axId val="2013772669"/>
        <c:axId val="771349094"/>
      </c:lineChart>
      <c:catAx>
        <c:axId val="2013772669"/>
        <c:scaling>
          <c:orientation val="minMax"/>
          <c:max val="4812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1349094"/>
      </c:catAx>
      <c:valAx>
        <c:axId val="77134909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3772669"/>
        <c:minorUnit val="0.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Avancement des tests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OK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trendline>
            <c:name>Linear (OK)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Analyse!$B$10:$BV$10</c:f>
            </c:strRef>
          </c:cat>
          <c:val>
            <c:numRef>
              <c:f>Analyse!$B$13:$BV$13</c:f>
              <c:numCache/>
            </c:numRef>
          </c:val>
          <c:smooth val="0"/>
        </c:ser>
        <c:axId val="479666409"/>
        <c:axId val="602570933"/>
      </c:lineChart>
      <c:catAx>
        <c:axId val="479666409"/>
        <c:scaling>
          <c:orientation val="minMax"/>
          <c:max val="4812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2570933"/>
      </c:catAx>
      <c:valAx>
        <c:axId val="60257093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9666409"/>
        <c:minorUnit val="0.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Avancement des tests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OK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Analyse!$B$10:$T$10</c:f>
            </c:strRef>
          </c:cat>
          <c:val>
            <c:numRef>
              <c:f>Analyse!$B$13:$T$13</c:f>
              <c:numCache/>
            </c:numRef>
          </c:val>
          <c:smooth val="0"/>
        </c:ser>
        <c:axId val="855541441"/>
        <c:axId val="1308134655"/>
      </c:lineChart>
      <c:catAx>
        <c:axId val="855541441"/>
        <c:scaling>
          <c:orientation val="minMax"/>
          <c:max val="48126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Temps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8134655"/>
      </c:catAx>
      <c:valAx>
        <c:axId val="130813465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Périmètre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5541441"/>
        <c:minorUnit val="0.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657225</xdr:colOff>
      <xdr:row>61</xdr:row>
      <xdr:rowOff>171450</xdr:rowOff>
    </xdr:from>
    <xdr:ext cx="4800600" cy="2714625"/>
    <xdr:graphicFrame>
      <xdr:nvGraphicFramePr>
        <xdr:cNvPr id="1140660800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228600</xdr:colOff>
      <xdr:row>83</xdr:row>
      <xdr:rowOff>19050</xdr:rowOff>
    </xdr:from>
    <xdr:ext cx="4800600" cy="2905125"/>
    <xdr:graphicFrame>
      <xdr:nvGraphicFramePr>
        <xdr:cNvPr id="1015109471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26</xdr:row>
      <xdr:rowOff>76200</xdr:rowOff>
    </xdr:from>
    <xdr:ext cx="18783300" cy="5067300"/>
    <xdr:graphicFrame>
      <xdr:nvGraphicFramePr>
        <xdr:cNvPr id="41472894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62</xdr:row>
      <xdr:rowOff>28575</xdr:rowOff>
    </xdr:from>
    <xdr:ext cx="4781550" cy="2628900"/>
    <xdr:graphicFrame>
      <xdr:nvGraphicFramePr>
        <xdr:cNvPr id="1023430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190500</xdr:colOff>
      <xdr:row>61</xdr:row>
      <xdr:rowOff>133350</xdr:rowOff>
    </xdr:from>
    <xdr:ext cx="4838700" cy="2809875"/>
    <xdr:graphicFrame>
      <xdr:nvGraphicFramePr>
        <xdr:cNvPr id="137609701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31</xdr:row>
      <xdr:rowOff>114300</xdr:rowOff>
    </xdr:from>
    <xdr:ext cx="18669000" cy="4886325"/>
    <xdr:graphicFrame>
      <xdr:nvGraphicFramePr>
        <xdr:cNvPr id="137852958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15</xdr:row>
      <xdr:rowOff>47625</xdr:rowOff>
    </xdr:from>
    <xdr:ext cx="4857750" cy="2695575"/>
    <xdr:pic>
      <xdr:nvPicPr>
        <xdr:cNvPr id="1186902468" name="Chart5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15</xdr:row>
      <xdr:rowOff>57150</xdr:rowOff>
    </xdr:from>
    <xdr:ext cx="4857750" cy="2695575"/>
    <xdr:graphicFrame>
      <xdr:nvGraphicFramePr>
        <xdr:cNvPr id="187413309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228600</xdr:colOff>
      <xdr:row>30</xdr:row>
      <xdr:rowOff>171450</xdr:rowOff>
    </xdr:from>
    <xdr:ext cx="13716000" cy="5067300"/>
    <xdr:graphicFrame>
      <xdr:nvGraphicFramePr>
        <xdr:cNvPr id="100472612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219075</xdr:colOff>
      <xdr:row>59</xdr:row>
      <xdr:rowOff>180975</xdr:rowOff>
    </xdr:from>
    <xdr:ext cx="13468350" cy="4591050"/>
    <xdr:graphicFrame>
      <xdr:nvGraphicFramePr>
        <xdr:cNvPr id="5209695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3:J12" displayName="Table_1" name="Table_1" id="1">
  <tableColumns count="9">
    <tableColumn name="Modules" id="1"/>
    <tableColumn name="Exigences" id="2"/>
    <tableColumn name="Taille" id="3"/>
    <tableColumn name="Valide" id="4"/>
    <tableColumn name="Testé" id="5"/>
    <tableColumn name="Conforme" id="6"/>
    <tableColumn name="Non conforme" id="7"/>
    <tableColumn name="Conf (taille)" id="8"/>
    <tableColumn name="NonConf (taille)" id="9"/>
  </tableColumns>
  <tableStyleInfo name="Donné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10.63"/>
    <col customWidth="1" min="3" max="3" width="37.0"/>
    <col customWidth="1" min="4" max="27" width="10.63"/>
  </cols>
  <sheetData>
    <row r="1" ht="14.25" customHeight="1">
      <c r="A1" s="2" t="s">
        <v>0</v>
      </c>
    </row>
    <row r="2" ht="14.25" customHeight="1"/>
    <row r="3" ht="14.25" customHeight="1"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ht="14.25" customHeight="1">
      <c r="B4" s="5" t="s">
        <v>10</v>
      </c>
      <c r="C4" s="5" t="s">
        <v>11</v>
      </c>
      <c r="D4" s="6">
        <v>2.0</v>
      </c>
      <c r="E4" s="7">
        <f t="shared" ref="E4:E9" si="2">R17</f>
        <v>1</v>
      </c>
      <c r="F4" s="8">
        <f t="shared" ref="F4:F11" si="3">W17/D17</f>
        <v>1</v>
      </c>
      <c r="G4" s="8">
        <f t="shared" ref="G4:H4" si="1">N17+P17</f>
        <v>1</v>
      </c>
      <c r="H4" s="8">
        <f t="shared" si="1"/>
        <v>0</v>
      </c>
      <c r="I4" s="8">
        <f>'Données'!$G4*'Données'!$D4</f>
        <v>2</v>
      </c>
      <c r="J4" s="8">
        <f>'Données'!$H4*'Données'!$D4</f>
        <v>0</v>
      </c>
    </row>
    <row r="5" ht="14.25" customHeight="1">
      <c r="B5" s="5" t="s">
        <v>12</v>
      </c>
      <c r="C5" s="5" t="s">
        <v>13</v>
      </c>
      <c r="D5" s="6">
        <v>2.0</v>
      </c>
      <c r="E5" s="7">
        <f t="shared" si="2"/>
        <v>1</v>
      </c>
      <c r="F5" s="8">
        <f t="shared" si="3"/>
        <v>1</v>
      </c>
      <c r="G5" s="8">
        <f t="shared" ref="G5:H5" si="4">N18+P18</f>
        <v>1</v>
      </c>
      <c r="H5" s="8">
        <f t="shared" si="4"/>
        <v>0</v>
      </c>
      <c r="I5" s="8">
        <f>'Données'!$G5*'Données'!$D5</f>
        <v>2</v>
      </c>
      <c r="J5" s="8">
        <f>'Données'!$H5*'Données'!$D5</f>
        <v>0</v>
      </c>
    </row>
    <row r="6" ht="14.25" customHeight="1">
      <c r="B6" s="5" t="s">
        <v>14</v>
      </c>
      <c r="C6" s="5" t="s">
        <v>15</v>
      </c>
      <c r="D6" s="6">
        <v>3.0</v>
      </c>
      <c r="E6" s="7">
        <f t="shared" si="2"/>
        <v>1</v>
      </c>
      <c r="F6" s="8">
        <f t="shared" si="3"/>
        <v>1</v>
      </c>
      <c r="G6" s="8">
        <f t="shared" ref="G6:H6" si="5">N19+P19</f>
        <v>1</v>
      </c>
      <c r="H6" s="8">
        <f t="shared" si="5"/>
        <v>0</v>
      </c>
      <c r="I6" s="8">
        <f>'Données'!$G6*'Données'!$D6</f>
        <v>3</v>
      </c>
      <c r="J6" s="8">
        <f>'Données'!$H6*'Données'!$D6</f>
        <v>0</v>
      </c>
    </row>
    <row r="7" ht="14.25" customHeight="1">
      <c r="B7" s="5"/>
      <c r="C7" s="5" t="s">
        <v>16</v>
      </c>
      <c r="D7" s="6">
        <v>2.0</v>
      </c>
      <c r="E7" s="7">
        <f t="shared" si="2"/>
        <v>1</v>
      </c>
      <c r="F7" s="8">
        <f t="shared" si="3"/>
        <v>1</v>
      </c>
      <c r="G7" s="8">
        <f t="shared" ref="G7:H7" si="6">N20+P20</f>
        <v>1</v>
      </c>
      <c r="H7" s="8">
        <f t="shared" si="6"/>
        <v>0</v>
      </c>
      <c r="I7" s="8">
        <f>'Données'!$G7*'Données'!$D7</f>
        <v>2</v>
      </c>
      <c r="J7" s="8">
        <f>'Données'!$H7*'Données'!$D7</f>
        <v>0</v>
      </c>
    </row>
    <row r="8" ht="14.25" customHeight="1">
      <c r="B8" s="5"/>
      <c r="C8" s="5" t="s">
        <v>17</v>
      </c>
      <c r="D8" s="6">
        <v>3.0</v>
      </c>
      <c r="E8" s="7">
        <f t="shared" si="2"/>
        <v>1</v>
      </c>
      <c r="F8" s="8">
        <f t="shared" si="3"/>
        <v>1</v>
      </c>
      <c r="G8" s="8">
        <f t="shared" ref="G8:H8" si="7">N21+P21</f>
        <v>1</v>
      </c>
      <c r="H8" s="8">
        <f t="shared" si="7"/>
        <v>0</v>
      </c>
      <c r="I8" s="8">
        <f>'Données'!$G8*'Données'!$D8</f>
        <v>3</v>
      </c>
      <c r="J8" s="8">
        <f>'Données'!$H8*'Données'!$D8</f>
        <v>0</v>
      </c>
    </row>
    <row r="9" ht="14.25" customHeight="1">
      <c r="B9" s="5"/>
      <c r="C9" s="5" t="s">
        <v>18</v>
      </c>
      <c r="D9" s="6">
        <v>1.0</v>
      </c>
      <c r="E9" s="7">
        <f t="shared" si="2"/>
        <v>1</v>
      </c>
      <c r="F9" s="8">
        <f t="shared" si="3"/>
        <v>1</v>
      </c>
      <c r="G9" s="8">
        <f t="shared" ref="G9:H9" si="8">N22+P22</f>
        <v>1</v>
      </c>
      <c r="H9" s="8">
        <f t="shared" si="8"/>
        <v>0</v>
      </c>
      <c r="I9" s="8">
        <f>'Données'!$G9*'Données'!$D9</f>
        <v>1</v>
      </c>
      <c r="J9" s="8">
        <f>'Données'!$H9*'Données'!$D9</f>
        <v>0</v>
      </c>
    </row>
    <row r="10" ht="14.25" customHeight="1">
      <c r="B10" s="5" t="s">
        <v>19</v>
      </c>
      <c r="C10" s="5" t="s">
        <v>20</v>
      </c>
      <c r="D10" s="6">
        <v>4.0</v>
      </c>
      <c r="E10" s="9">
        <v>1.0</v>
      </c>
      <c r="F10" s="8">
        <f t="shared" si="3"/>
        <v>1</v>
      </c>
      <c r="G10" s="8">
        <f t="shared" ref="G10:H10" si="9">N23+P23</f>
        <v>0.875</v>
      </c>
      <c r="H10" s="8">
        <f t="shared" si="9"/>
        <v>0.5</v>
      </c>
      <c r="I10" s="8">
        <f>'Données'!$G10*'Données'!$D10</f>
        <v>3.5</v>
      </c>
      <c r="J10" s="8">
        <f>'Données'!$H10*'Données'!$D10</f>
        <v>2</v>
      </c>
    </row>
    <row r="11" ht="14.25" customHeight="1">
      <c r="B11" s="5"/>
      <c r="C11" s="5" t="s">
        <v>21</v>
      </c>
      <c r="D11" s="6">
        <v>4.0</v>
      </c>
      <c r="E11" s="9">
        <v>1.0</v>
      </c>
      <c r="F11" s="8">
        <f t="shared" si="3"/>
        <v>1</v>
      </c>
      <c r="G11" s="8">
        <f t="shared" ref="G11:H11" si="10">N24+P24</f>
        <v>0.9523809524</v>
      </c>
      <c r="H11" s="8">
        <f t="shared" si="10"/>
        <v>0.125</v>
      </c>
      <c r="I11" s="8">
        <f>'Données'!$G11*'Données'!$D11</f>
        <v>3.80952381</v>
      </c>
      <c r="J11" s="8">
        <f>'Données'!$H11*'Données'!$D11</f>
        <v>0.5</v>
      </c>
    </row>
    <row r="12" ht="14.25" customHeight="1">
      <c r="B12" s="10" t="s">
        <v>22</v>
      </c>
      <c r="C12" s="10"/>
      <c r="D12" s="11">
        <f t="shared" ref="D12:E12" si="11">SUM(D4:D11)</f>
        <v>21</v>
      </c>
      <c r="E12" s="12">
        <f t="shared" si="11"/>
        <v>8</v>
      </c>
      <c r="F12" s="13">
        <f t="shared" ref="F12:J12" si="12">AVERAGE(F4:F11)</f>
        <v>1</v>
      </c>
      <c r="G12" s="13">
        <f t="shared" si="12"/>
        <v>0.978422619</v>
      </c>
      <c r="H12" s="13">
        <f t="shared" si="12"/>
        <v>0.078125</v>
      </c>
      <c r="I12" s="13">
        <f t="shared" si="12"/>
        <v>2.538690476</v>
      </c>
      <c r="J12" s="13">
        <f t="shared" si="12"/>
        <v>0.3125</v>
      </c>
    </row>
    <row r="13" ht="14.25" customHeight="1"/>
    <row r="14" ht="14.25" customHeight="1">
      <c r="A14" s="14" t="s">
        <v>23</v>
      </c>
    </row>
    <row r="15" ht="14.25" customHeight="1">
      <c r="B15" s="1"/>
      <c r="C15" s="1"/>
      <c r="D15" s="15"/>
      <c r="E15" s="16"/>
      <c r="F15" s="16" t="s">
        <v>24</v>
      </c>
      <c r="G15" s="16"/>
      <c r="H15" s="17"/>
      <c r="I15" s="18" t="s">
        <v>25</v>
      </c>
      <c r="J15" s="19"/>
      <c r="K15" s="19"/>
      <c r="L15" s="20"/>
      <c r="M15" s="1"/>
      <c r="N15" s="1"/>
      <c r="O15" s="1"/>
      <c r="P15" s="1"/>
      <c r="Q15" s="1"/>
    </row>
    <row r="16" ht="14.25" customHeight="1">
      <c r="B16" s="1"/>
      <c r="C16" s="1"/>
      <c r="D16" s="21" t="s">
        <v>24</v>
      </c>
      <c r="E16" s="22" t="s">
        <v>26</v>
      </c>
      <c r="F16" s="22" t="s">
        <v>27</v>
      </c>
      <c r="G16" s="22" t="s">
        <v>28</v>
      </c>
      <c r="H16" s="23" t="s">
        <v>29</v>
      </c>
      <c r="I16" s="21" t="s">
        <v>30</v>
      </c>
      <c r="J16" s="22" t="s">
        <v>31</v>
      </c>
      <c r="K16" s="22" t="s">
        <v>32</v>
      </c>
      <c r="L16" s="23" t="s">
        <v>33</v>
      </c>
      <c r="M16" s="24" t="s">
        <v>34</v>
      </c>
      <c r="N16" s="25" t="s">
        <v>35</v>
      </c>
      <c r="O16" s="26" t="s">
        <v>36</v>
      </c>
      <c r="P16" s="27" t="s">
        <v>37</v>
      </c>
      <c r="Q16" s="28" t="s">
        <v>38</v>
      </c>
      <c r="R16" s="29" t="s">
        <v>39</v>
      </c>
      <c r="S16" s="29" t="s">
        <v>40</v>
      </c>
      <c r="T16" s="29" t="s">
        <v>41</v>
      </c>
      <c r="U16" s="29" t="s">
        <v>42</v>
      </c>
      <c r="V16" s="29" t="s">
        <v>43</v>
      </c>
      <c r="W16" s="29" t="s">
        <v>44</v>
      </c>
      <c r="X16" s="29" t="s">
        <v>45</v>
      </c>
      <c r="Y16" s="29" t="s">
        <v>46</v>
      </c>
      <c r="Z16" s="29" t="s">
        <v>47</v>
      </c>
      <c r="AA16" s="29" t="s">
        <v>30</v>
      </c>
    </row>
    <row r="17" ht="14.25" customHeight="1">
      <c r="B17" s="30" t="str">
        <f t="shared" ref="B17:C17" si="13">B4</f>
        <v>Recherche</v>
      </c>
      <c r="C17" s="30" t="str">
        <f t="shared" si="13"/>
        <v>Réaliser une recherche simple</v>
      </c>
      <c r="D17" s="31">
        <v>2.0</v>
      </c>
      <c r="E17" s="32">
        <v>2.0</v>
      </c>
      <c r="F17" s="32"/>
      <c r="G17" s="33"/>
      <c r="H17" s="34">
        <f t="shared" ref="H17:H24" si="15">D17-(E17+F17+G17)</f>
        <v>0</v>
      </c>
      <c r="I17" s="35">
        <f t="shared" ref="I17:I24" si="16">SUM(J17:L17)</f>
        <v>0</v>
      </c>
      <c r="J17" s="32"/>
      <c r="K17" s="36"/>
      <c r="L17" s="37"/>
      <c r="M17" s="38">
        <v>1.0</v>
      </c>
      <c r="N17" s="39">
        <f t="shared" ref="N17:N24" si="17">E17/D17</f>
        <v>1</v>
      </c>
      <c r="O17" s="39">
        <v>0.0</v>
      </c>
      <c r="P17" s="39"/>
      <c r="Q17" s="39">
        <f t="shared" ref="Q17:Q24" si="18">H17/D17</f>
        <v>0</v>
      </c>
      <c r="R17" s="30">
        <f t="shared" ref="R17:R24" si="19">IF(AND(N17&gt;=M17,ISBLANK(K17),ISBLANK(J17)),1,0)</f>
        <v>1</v>
      </c>
      <c r="S17" s="39">
        <v>1.0</v>
      </c>
      <c r="T17" s="39">
        <f t="shared" ref="T17:T24" si="20">SUM(E17:G17)/D17</f>
        <v>1</v>
      </c>
      <c r="U17" s="39">
        <f t="shared" ref="U17:U24" si="21">100%-T17</f>
        <v>0</v>
      </c>
      <c r="V17" s="39">
        <v>0.0</v>
      </c>
      <c r="W17" s="30">
        <f t="shared" ref="W17:W24" si="22">D17</f>
        <v>2</v>
      </c>
      <c r="X17" s="30">
        <f t="shared" ref="X17:X24" si="23">SUM(E17:G17)</f>
        <v>2</v>
      </c>
      <c r="Y17" s="30">
        <f t="shared" ref="Y17:Y24" si="24">D17-SUM(E17:G17)</f>
        <v>0</v>
      </c>
      <c r="Z17" s="30">
        <f t="shared" ref="Z17:Z24" si="25">D17-W17</f>
        <v>0</v>
      </c>
      <c r="AA17" s="40">
        <f>D17</f>
        <v>2</v>
      </c>
    </row>
    <row r="18" ht="14.25" customHeight="1">
      <c r="B18" s="30" t="str">
        <f t="shared" ref="B18:C18" si="14">B5</f>
        <v>Gestion des annonces</v>
      </c>
      <c r="C18" s="30" t="str">
        <f t="shared" si="14"/>
        <v>Créer une annonce</v>
      </c>
      <c r="D18" s="31">
        <v>2.0</v>
      </c>
      <c r="E18" s="32">
        <v>2.0</v>
      </c>
      <c r="F18" s="32"/>
      <c r="G18" s="1"/>
      <c r="H18" s="34">
        <f t="shared" si="15"/>
        <v>0</v>
      </c>
      <c r="I18" s="35">
        <f t="shared" si="16"/>
        <v>0</v>
      </c>
      <c r="J18" s="32"/>
      <c r="K18" s="36"/>
      <c r="L18" s="37"/>
      <c r="M18" s="38">
        <v>0.6</v>
      </c>
      <c r="N18" s="39">
        <f t="shared" si="17"/>
        <v>1</v>
      </c>
      <c r="O18" s="39">
        <f t="shared" ref="O18:O24" si="27">F18/D17</f>
        <v>0</v>
      </c>
      <c r="P18" s="39"/>
      <c r="Q18" s="39">
        <f t="shared" si="18"/>
        <v>0</v>
      </c>
      <c r="R18" s="30">
        <f t="shared" si="19"/>
        <v>1</v>
      </c>
      <c r="S18" s="39">
        <v>1.0</v>
      </c>
      <c r="T18" s="39">
        <f t="shared" si="20"/>
        <v>1</v>
      </c>
      <c r="U18" s="39">
        <f t="shared" si="21"/>
        <v>0</v>
      </c>
      <c r="V18" s="39">
        <v>0.0</v>
      </c>
      <c r="W18" s="30">
        <f t="shared" si="22"/>
        <v>2</v>
      </c>
      <c r="X18" s="30">
        <f t="shared" si="23"/>
        <v>2</v>
      </c>
      <c r="Y18" s="30">
        <f t="shared" si="24"/>
        <v>0</v>
      </c>
      <c r="Z18" s="30">
        <f t="shared" si="25"/>
        <v>0</v>
      </c>
      <c r="AA18" s="40">
        <f t="shared" ref="AA18:AA24" si="28">SUM(X18:Z18)</f>
        <v>2</v>
      </c>
    </row>
    <row r="19" ht="14.25" customHeight="1">
      <c r="B19" s="30" t="str">
        <f t="shared" ref="B19:C19" si="26">B6</f>
        <v>Gestion des comptes</v>
      </c>
      <c r="C19" s="30" t="str">
        <f t="shared" si="26"/>
        <v>S'inscrire</v>
      </c>
      <c r="D19" s="31">
        <v>2.0</v>
      </c>
      <c r="E19" s="32">
        <v>2.0</v>
      </c>
      <c r="F19" s="36"/>
      <c r="G19" s="1"/>
      <c r="H19" s="34">
        <f t="shared" si="15"/>
        <v>0</v>
      </c>
      <c r="I19" s="35">
        <f t="shared" si="16"/>
        <v>0</v>
      </c>
      <c r="J19" s="36"/>
      <c r="K19" s="36"/>
      <c r="L19" s="37"/>
      <c r="M19" s="38">
        <v>0.6</v>
      </c>
      <c r="N19" s="39">
        <f t="shared" si="17"/>
        <v>1</v>
      </c>
      <c r="O19" s="39">
        <f t="shared" si="27"/>
        <v>0</v>
      </c>
      <c r="P19" s="39"/>
      <c r="Q19" s="39">
        <f t="shared" si="18"/>
        <v>0</v>
      </c>
      <c r="R19" s="30">
        <f t="shared" si="19"/>
        <v>1</v>
      </c>
      <c r="S19" s="39">
        <v>1.0</v>
      </c>
      <c r="T19" s="39">
        <f t="shared" si="20"/>
        <v>1</v>
      </c>
      <c r="U19" s="39">
        <f t="shared" si="21"/>
        <v>0</v>
      </c>
      <c r="V19" s="39">
        <v>0.0</v>
      </c>
      <c r="W19" s="30">
        <f t="shared" si="22"/>
        <v>2</v>
      </c>
      <c r="X19" s="30">
        <f t="shared" si="23"/>
        <v>2</v>
      </c>
      <c r="Y19" s="30">
        <f t="shared" si="24"/>
        <v>0</v>
      </c>
      <c r="Z19" s="30">
        <f t="shared" si="25"/>
        <v>0</v>
      </c>
      <c r="AA19" s="40">
        <f t="shared" si="28"/>
        <v>2</v>
      </c>
    </row>
    <row r="20" ht="14.25" customHeight="1">
      <c r="B20" s="30"/>
      <c r="C20" s="30" t="str">
        <f t="shared" ref="C20:C22" si="29">C7</f>
        <v>Se connecter</v>
      </c>
      <c r="D20" s="31">
        <v>2.0</v>
      </c>
      <c r="E20" s="32">
        <v>2.0</v>
      </c>
      <c r="F20" s="36"/>
      <c r="G20" s="1"/>
      <c r="H20" s="34">
        <f t="shared" si="15"/>
        <v>0</v>
      </c>
      <c r="I20" s="35">
        <f t="shared" si="16"/>
        <v>0</v>
      </c>
      <c r="J20" s="36"/>
      <c r="K20" s="36"/>
      <c r="L20" s="37"/>
      <c r="M20" s="38">
        <v>0.6</v>
      </c>
      <c r="N20" s="39">
        <f t="shared" si="17"/>
        <v>1</v>
      </c>
      <c r="O20" s="39">
        <f t="shared" si="27"/>
        <v>0</v>
      </c>
      <c r="P20" s="39"/>
      <c r="Q20" s="39">
        <f t="shared" si="18"/>
        <v>0</v>
      </c>
      <c r="R20" s="30">
        <f t="shared" si="19"/>
        <v>1</v>
      </c>
      <c r="S20" s="39">
        <v>1.0</v>
      </c>
      <c r="T20" s="39">
        <f t="shared" si="20"/>
        <v>1</v>
      </c>
      <c r="U20" s="39">
        <f t="shared" si="21"/>
        <v>0</v>
      </c>
      <c r="V20" s="39">
        <v>0.0</v>
      </c>
      <c r="W20" s="30">
        <f t="shared" si="22"/>
        <v>2</v>
      </c>
      <c r="X20" s="30">
        <f t="shared" si="23"/>
        <v>2</v>
      </c>
      <c r="Y20" s="30">
        <f t="shared" si="24"/>
        <v>0</v>
      </c>
      <c r="Z20" s="30">
        <f t="shared" si="25"/>
        <v>0</v>
      </c>
      <c r="AA20" s="40">
        <f t="shared" si="28"/>
        <v>2</v>
      </c>
    </row>
    <row r="21" ht="14.25" customHeight="1">
      <c r="B21" s="30"/>
      <c r="C21" s="30" t="str">
        <f t="shared" si="29"/>
        <v>Devenir hôte</v>
      </c>
      <c r="D21" s="31">
        <v>2.0</v>
      </c>
      <c r="E21" s="32">
        <v>2.0</v>
      </c>
      <c r="F21" s="36"/>
      <c r="G21" s="1"/>
      <c r="H21" s="34">
        <f t="shared" si="15"/>
        <v>0</v>
      </c>
      <c r="I21" s="35">
        <f t="shared" si="16"/>
        <v>0</v>
      </c>
      <c r="J21" s="36"/>
      <c r="K21" s="36"/>
      <c r="L21" s="37"/>
      <c r="M21" s="38">
        <v>0.6</v>
      </c>
      <c r="N21" s="39">
        <f t="shared" si="17"/>
        <v>1</v>
      </c>
      <c r="O21" s="39">
        <f t="shared" si="27"/>
        <v>0</v>
      </c>
      <c r="P21" s="39"/>
      <c r="Q21" s="39">
        <f t="shared" si="18"/>
        <v>0</v>
      </c>
      <c r="R21" s="30">
        <f t="shared" si="19"/>
        <v>1</v>
      </c>
      <c r="S21" s="39">
        <v>1.0</v>
      </c>
      <c r="T21" s="39">
        <f t="shared" si="20"/>
        <v>1</v>
      </c>
      <c r="U21" s="39">
        <f t="shared" si="21"/>
        <v>0</v>
      </c>
      <c r="V21" s="39">
        <v>0.0</v>
      </c>
      <c r="W21" s="30">
        <f t="shared" si="22"/>
        <v>2</v>
      </c>
      <c r="X21" s="30">
        <f t="shared" si="23"/>
        <v>2</v>
      </c>
      <c r="Y21" s="30">
        <f t="shared" si="24"/>
        <v>0</v>
      </c>
      <c r="Z21" s="30">
        <f t="shared" si="25"/>
        <v>0</v>
      </c>
      <c r="AA21" s="40">
        <f t="shared" si="28"/>
        <v>2</v>
      </c>
    </row>
    <row r="22" ht="14.25" customHeight="1">
      <c r="B22" s="30"/>
      <c r="C22" s="30" t="str">
        <f t="shared" si="29"/>
        <v>Régénérer un mot de passe</v>
      </c>
      <c r="D22" s="31">
        <v>2.0</v>
      </c>
      <c r="E22" s="32">
        <v>2.0</v>
      </c>
      <c r="F22" s="36"/>
      <c r="G22" s="1"/>
      <c r="H22" s="34">
        <f t="shared" si="15"/>
        <v>0</v>
      </c>
      <c r="I22" s="35">
        <f t="shared" si="16"/>
        <v>0</v>
      </c>
      <c r="J22" s="36"/>
      <c r="K22" s="32"/>
      <c r="L22" s="37"/>
      <c r="M22" s="41">
        <v>1.0</v>
      </c>
      <c r="N22" s="39">
        <f t="shared" si="17"/>
        <v>1</v>
      </c>
      <c r="O22" s="39">
        <f t="shared" si="27"/>
        <v>0</v>
      </c>
      <c r="P22" s="39"/>
      <c r="Q22" s="39">
        <f t="shared" si="18"/>
        <v>0</v>
      </c>
      <c r="R22" s="30">
        <f t="shared" si="19"/>
        <v>1</v>
      </c>
      <c r="S22" s="39">
        <v>1.0</v>
      </c>
      <c r="T22" s="39">
        <f t="shared" si="20"/>
        <v>1</v>
      </c>
      <c r="U22" s="39">
        <f t="shared" si="21"/>
        <v>0</v>
      </c>
      <c r="V22" s="39">
        <v>0.0</v>
      </c>
      <c r="W22" s="30">
        <f t="shared" si="22"/>
        <v>2</v>
      </c>
      <c r="X22" s="30">
        <f t="shared" si="23"/>
        <v>2</v>
      </c>
      <c r="Y22" s="30">
        <f t="shared" si="24"/>
        <v>0</v>
      </c>
      <c r="Z22" s="30">
        <f t="shared" si="25"/>
        <v>0</v>
      </c>
      <c r="AA22" s="40">
        <f t="shared" si="28"/>
        <v>2</v>
      </c>
    </row>
    <row r="23" ht="14.25" customHeight="1">
      <c r="B23" s="30" t="str">
        <f t="shared" ref="B23:C23" si="30">B10</f>
        <v>Gestion des réservations</v>
      </c>
      <c r="C23" s="30" t="str">
        <f t="shared" si="30"/>
        <v>Faire une demande de réservation</v>
      </c>
      <c r="D23" s="31">
        <v>8.0</v>
      </c>
      <c r="E23" s="32">
        <v>7.0</v>
      </c>
      <c r="F23" s="32">
        <v>1.0</v>
      </c>
      <c r="G23" s="1"/>
      <c r="H23" s="34">
        <f t="shared" si="15"/>
        <v>0</v>
      </c>
      <c r="I23" s="35">
        <f t="shared" si="16"/>
        <v>1</v>
      </c>
      <c r="J23" s="36"/>
      <c r="K23" s="32">
        <v>1.0</v>
      </c>
      <c r="L23" s="37"/>
      <c r="M23" s="41">
        <v>1.0</v>
      </c>
      <c r="N23" s="39">
        <f t="shared" si="17"/>
        <v>0.875</v>
      </c>
      <c r="O23" s="39">
        <f t="shared" si="27"/>
        <v>0.5</v>
      </c>
      <c r="P23" s="39"/>
      <c r="Q23" s="39">
        <f t="shared" si="18"/>
        <v>0</v>
      </c>
      <c r="R23" s="30">
        <f t="shared" si="19"/>
        <v>0</v>
      </c>
      <c r="S23" s="39">
        <v>1.0</v>
      </c>
      <c r="T23" s="39">
        <f t="shared" si="20"/>
        <v>1</v>
      </c>
      <c r="U23" s="39">
        <f t="shared" si="21"/>
        <v>0</v>
      </c>
      <c r="V23" s="39">
        <v>0.0</v>
      </c>
      <c r="W23" s="30">
        <f t="shared" si="22"/>
        <v>8</v>
      </c>
      <c r="X23" s="30">
        <f t="shared" si="23"/>
        <v>8</v>
      </c>
      <c r="Y23" s="30">
        <f t="shared" si="24"/>
        <v>0</v>
      </c>
      <c r="Z23" s="30">
        <f t="shared" si="25"/>
        <v>0</v>
      </c>
      <c r="AA23" s="40">
        <f t="shared" si="28"/>
        <v>8</v>
      </c>
    </row>
    <row r="24" ht="14.25" customHeight="1">
      <c r="B24" s="30"/>
      <c r="C24" s="30" t="str">
        <f>C11</f>
        <v>Traiter une demande de réservation</v>
      </c>
      <c r="D24" s="31">
        <v>21.0</v>
      </c>
      <c r="E24" s="32">
        <v>20.0</v>
      </c>
      <c r="F24" s="32">
        <v>1.0</v>
      </c>
      <c r="G24" s="1"/>
      <c r="H24" s="34">
        <f t="shared" si="15"/>
        <v>0</v>
      </c>
      <c r="I24" s="35">
        <f t="shared" si="16"/>
        <v>1</v>
      </c>
      <c r="J24" s="36"/>
      <c r="K24" s="32">
        <v>1.0</v>
      </c>
      <c r="L24" s="42"/>
      <c r="M24" s="41">
        <v>0.8</v>
      </c>
      <c r="N24" s="39">
        <f t="shared" si="17"/>
        <v>0.9523809524</v>
      </c>
      <c r="O24" s="39">
        <f t="shared" si="27"/>
        <v>0.125</v>
      </c>
      <c r="P24" s="39"/>
      <c r="Q24" s="39">
        <f t="shared" si="18"/>
        <v>0</v>
      </c>
      <c r="R24" s="30">
        <f t="shared" si="19"/>
        <v>0</v>
      </c>
      <c r="S24" s="39">
        <v>1.0</v>
      </c>
      <c r="T24" s="39">
        <f t="shared" si="20"/>
        <v>1</v>
      </c>
      <c r="U24" s="39">
        <f t="shared" si="21"/>
        <v>0</v>
      </c>
      <c r="V24" s="39">
        <v>0.0</v>
      </c>
      <c r="W24" s="30">
        <f t="shared" si="22"/>
        <v>21</v>
      </c>
      <c r="X24" s="30">
        <f t="shared" si="23"/>
        <v>21</v>
      </c>
      <c r="Y24" s="30">
        <f t="shared" si="24"/>
        <v>0</v>
      </c>
      <c r="Z24" s="30">
        <f t="shared" si="25"/>
        <v>0</v>
      </c>
      <c r="AA24" s="40">
        <f t="shared" si="28"/>
        <v>21</v>
      </c>
    </row>
    <row r="25" ht="14.25" customHeight="1">
      <c r="B25" s="1"/>
      <c r="C25" s="1" t="s">
        <v>30</v>
      </c>
      <c r="D25" s="43">
        <f t="shared" ref="D25:L25" si="31">SUM(D17:D24)</f>
        <v>41</v>
      </c>
      <c r="E25" s="43">
        <f t="shared" si="31"/>
        <v>39</v>
      </c>
      <c r="F25" s="43">
        <f t="shared" si="31"/>
        <v>2</v>
      </c>
      <c r="G25" s="43">
        <f t="shared" si="31"/>
        <v>0</v>
      </c>
      <c r="H25" s="44">
        <f t="shared" si="31"/>
        <v>0</v>
      </c>
      <c r="I25" s="44">
        <f t="shared" si="31"/>
        <v>2</v>
      </c>
      <c r="J25" s="43">
        <f t="shared" si="31"/>
        <v>0</v>
      </c>
      <c r="K25" s="43">
        <f t="shared" si="31"/>
        <v>2</v>
      </c>
      <c r="L25" s="43">
        <f t="shared" si="31"/>
        <v>0</v>
      </c>
      <c r="M25" s="45">
        <f t="shared" ref="M25:O25" si="32">AVERAGE(M17:M24)</f>
        <v>0.775</v>
      </c>
      <c r="N25" s="46">
        <f t="shared" si="32"/>
        <v>0.978422619</v>
      </c>
      <c r="O25" s="46">
        <f t="shared" si="32"/>
        <v>0.078125</v>
      </c>
      <c r="P25" s="46">
        <v>0.0</v>
      </c>
      <c r="Q25" s="46">
        <f>AVERAGE(Q17:Q24)</f>
        <v>0</v>
      </c>
      <c r="R25" s="47">
        <f>SUM(R17:R24)</f>
        <v>6</v>
      </c>
      <c r="S25" s="46">
        <f t="shared" ref="S25:V25" si="33">AVERAGE(S17:S24)</f>
        <v>1</v>
      </c>
      <c r="T25" s="46">
        <f t="shared" si="33"/>
        <v>1</v>
      </c>
      <c r="U25" s="46">
        <f t="shared" si="33"/>
        <v>0</v>
      </c>
      <c r="V25" s="46">
        <f t="shared" si="33"/>
        <v>0</v>
      </c>
      <c r="W25" s="47">
        <f t="shared" ref="W25:AA25" si="34">SUM(W17:W24)</f>
        <v>41</v>
      </c>
      <c r="X25" s="47">
        <f t="shared" si="34"/>
        <v>41</v>
      </c>
      <c r="Y25" s="47">
        <f t="shared" si="34"/>
        <v>0</v>
      </c>
      <c r="Z25" s="47">
        <f t="shared" si="34"/>
        <v>0</v>
      </c>
      <c r="AA25" s="47">
        <f t="shared" si="34"/>
        <v>41</v>
      </c>
    </row>
    <row r="26" ht="14.25" customHeight="1">
      <c r="B26" s="1"/>
      <c r="C26" s="1" t="s">
        <v>48</v>
      </c>
      <c r="D26" s="1"/>
      <c r="E26" s="1"/>
      <c r="F26" s="1"/>
      <c r="G26" s="1"/>
      <c r="H26" s="1"/>
      <c r="I26" s="1"/>
      <c r="J26" s="1"/>
      <c r="K26" s="1"/>
      <c r="L26" s="1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/>
    <row r="58" ht="14.25" customHeight="1">
      <c r="A58" s="14" t="s">
        <v>49</v>
      </c>
    </row>
    <row r="59" ht="14.25" customHeight="1">
      <c r="D59" s="29" t="s">
        <v>50</v>
      </c>
      <c r="E59" s="29" t="s">
        <v>51</v>
      </c>
    </row>
    <row r="60" ht="14.25" customHeight="1">
      <c r="B60" s="48" t="s">
        <v>2</v>
      </c>
      <c r="C60" s="29" t="s">
        <v>52</v>
      </c>
      <c r="D60" s="30">
        <f>COUNTA('Données'!$C$4:$C$12)</f>
        <v>8</v>
      </c>
      <c r="E60" s="39">
        <v>1.0</v>
      </c>
    </row>
    <row r="61" ht="14.25" customHeight="1">
      <c r="C61" s="29" t="s">
        <v>53</v>
      </c>
      <c r="D61" s="30">
        <f>R25</f>
        <v>6</v>
      </c>
      <c r="E61" s="39">
        <f>D61*E60/D60</f>
        <v>0.75</v>
      </c>
    </row>
    <row r="62" ht="14.25" customHeight="1">
      <c r="C62" s="29" t="s">
        <v>54</v>
      </c>
      <c r="D62" s="30">
        <f>D60-D61</f>
        <v>2</v>
      </c>
      <c r="E62" s="39">
        <f>D62*E60/D60</f>
        <v>0.25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>
      <c r="A76" s="14" t="s">
        <v>55</v>
      </c>
    </row>
    <row r="77" ht="14.25" customHeight="1"/>
    <row r="78" ht="14.25" customHeight="1">
      <c r="B78" s="21" t="s">
        <v>26</v>
      </c>
      <c r="C78" s="49">
        <f>E25/D25</f>
        <v>0.9512195122</v>
      </c>
    </row>
    <row r="79" ht="14.25" customHeight="1">
      <c r="B79" s="50" t="s">
        <v>5</v>
      </c>
      <c r="C79" s="51">
        <f>(E25+F25)/D25</f>
        <v>1</v>
      </c>
    </row>
    <row r="80" ht="14.25" customHeight="1">
      <c r="A80" s="1"/>
      <c r="B80" s="50" t="s">
        <v>56</v>
      </c>
      <c r="C80" s="51">
        <f>C79-C78</f>
        <v>0.0487804878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B81" s="52" t="s">
        <v>57</v>
      </c>
      <c r="C81" s="53">
        <f>H25/D25</f>
        <v>0</v>
      </c>
    </row>
    <row r="82" ht="14.25" customHeight="1">
      <c r="B82" s="47" t="s">
        <v>30</v>
      </c>
      <c r="C82" s="54">
        <f>C81+C79</f>
        <v>1</v>
      </c>
    </row>
    <row r="83" ht="14.25" customHeight="1">
      <c r="C83" s="54">
        <f>SUM(C78:C81)</f>
        <v>2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I15:L15"/>
    <mergeCell ref="B60:B62"/>
  </mergeCells>
  <conditionalFormatting sqref="E4:E11">
    <cfRule type="cellIs" dxfId="4" priority="1" operator="equal">
      <formula>1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4.2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4.2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4.25" customHeight="1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4.25" customHeight="1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4.25" customHeight="1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4.25" customHeight="1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4.2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4.25" customHeight="1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4.25" customHeight="1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4.25" customHeight="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4.25" customHeight="1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5" width="10.63"/>
  </cols>
  <sheetData>
    <row r="1" ht="14.25" customHeight="1"/>
    <row r="2" ht="14.25" customHeight="1">
      <c r="B2" s="55">
        <v>46216.0</v>
      </c>
      <c r="C2" s="55">
        <v>46217.0</v>
      </c>
      <c r="D2" s="55">
        <v>46218.0</v>
      </c>
      <c r="E2" s="55">
        <v>46219.0</v>
      </c>
      <c r="F2" s="55">
        <v>46220.0</v>
      </c>
      <c r="G2" s="55">
        <v>46221.0</v>
      </c>
      <c r="H2" s="55">
        <v>46222.0</v>
      </c>
      <c r="I2" s="55">
        <v>46223.0</v>
      </c>
      <c r="J2" s="55">
        <v>46224.0</v>
      </c>
      <c r="K2" s="55">
        <v>46225.0</v>
      </c>
      <c r="L2" s="55">
        <v>46226.0</v>
      </c>
      <c r="M2" s="55">
        <v>46227.0</v>
      </c>
      <c r="N2" s="55">
        <v>46228.0</v>
      </c>
      <c r="O2" s="55">
        <v>46229.0</v>
      </c>
      <c r="P2" s="55">
        <v>46230.0</v>
      </c>
      <c r="Q2" s="55">
        <v>46231.0</v>
      </c>
      <c r="R2" s="56">
        <f t="shared" ref="R2:IA2" si="1">Q2+7</f>
        <v>46238</v>
      </c>
      <c r="S2" s="56">
        <f t="shared" si="1"/>
        <v>46245</v>
      </c>
      <c r="T2" s="56">
        <f t="shared" si="1"/>
        <v>46252</v>
      </c>
      <c r="U2" s="56">
        <f t="shared" si="1"/>
        <v>46259</v>
      </c>
      <c r="V2" s="56">
        <f t="shared" si="1"/>
        <v>46266</v>
      </c>
      <c r="W2" s="56">
        <f t="shared" si="1"/>
        <v>46273</v>
      </c>
      <c r="X2" s="56">
        <f t="shared" si="1"/>
        <v>46280</v>
      </c>
      <c r="Y2" s="56">
        <f t="shared" si="1"/>
        <v>46287</v>
      </c>
      <c r="Z2" s="56">
        <f t="shared" si="1"/>
        <v>46294</v>
      </c>
      <c r="AA2" s="56">
        <f t="shared" si="1"/>
        <v>46301</v>
      </c>
      <c r="AB2" s="56">
        <f t="shared" si="1"/>
        <v>46308</v>
      </c>
      <c r="AC2" s="56">
        <f t="shared" si="1"/>
        <v>46315</v>
      </c>
      <c r="AD2" s="56">
        <f t="shared" si="1"/>
        <v>46322</v>
      </c>
      <c r="AE2" s="56">
        <f t="shared" si="1"/>
        <v>46329</v>
      </c>
      <c r="AF2" s="56">
        <f t="shared" si="1"/>
        <v>46336</v>
      </c>
      <c r="AG2" s="56">
        <f t="shared" si="1"/>
        <v>46343</v>
      </c>
      <c r="AH2" s="56">
        <f t="shared" si="1"/>
        <v>46350</v>
      </c>
      <c r="AI2" s="56">
        <f t="shared" si="1"/>
        <v>46357</v>
      </c>
      <c r="AJ2" s="56">
        <f t="shared" si="1"/>
        <v>46364</v>
      </c>
      <c r="AK2" s="56">
        <f t="shared" si="1"/>
        <v>46371</v>
      </c>
      <c r="AL2" s="56">
        <f t="shared" si="1"/>
        <v>46378</v>
      </c>
      <c r="AM2" s="56">
        <f t="shared" si="1"/>
        <v>46385</v>
      </c>
      <c r="AN2" s="56">
        <f t="shared" si="1"/>
        <v>46392</v>
      </c>
      <c r="AO2" s="56">
        <f t="shared" si="1"/>
        <v>46399</v>
      </c>
      <c r="AP2" s="56">
        <f t="shared" si="1"/>
        <v>46406</v>
      </c>
      <c r="AQ2" s="56">
        <f t="shared" si="1"/>
        <v>46413</v>
      </c>
      <c r="AR2" s="56">
        <f t="shared" si="1"/>
        <v>46420</v>
      </c>
      <c r="AS2" s="56">
        <f t="shared" si="1"/>
        <v>46427</v>
      </c>
      <c r="AT2" s="56">
        <f t="shared" si="1"/>
        <v>46434</v>
      </c>
      <c r="AU2" s="56">
        <f t="shared" si="1"/>
        <v>46441</v>
      </c>
      <c r="AV2" s="56">
        <f t="shared" si="1"/>
        <v>46448</v>
      </c>
      <c r="AW2" s="56">
        <f t="shared" si="1"/>
        <v>46455</v>
      </c>
      <c r="AX2" s="56">
        <f t="shared" si="1"/>
        <v>46462</v>
      </c>
      <c r="AY2" s="56">
        <f t="shared" si="1"/>
        <v>46469</v>
      </c>
      <c r="AZ2" s="56">
        <f t="shared" si="1"/>
        <v>46476</v>
      </c>
      <c r="BA2" s="56">
        <f t="shared" si="1"/>
        <v>46483</v>
      </c>
      <c r="BB2" s="56">
        <f t="shared" si="1"/>
        <v>46490</v>
      </c>
      <c r="BC2" s="56">
        <f t="shared" si="1"/>
        <v>46497</v>
      </c>
      <c r="BD2" s="56">
        <f t="shared" si="1"/>
        <v>46504</v>
      </c>
      <c r="BE2" s="56">
        <f t="shared" si="1"/>
        <v>46511</v>
      </c>
      <c r="BF2" s="56">
        <f t="shared" si="1"/>
        <v>46518</v>
      </c>
      <c r="BG2" s="56">
        <f t="shared" si="1"/>
        <v>46525</v>
      </c>
      <c r="BH2" s="56">
        <f t="shared" si="1"/>
        <v>46532</v>
      </c>
      <c r="BI2" s="56">
        <f t="shared" si="1"/>
        <v>46539</v>
      </c>
      <c r="BJ2" s="56">
        <f t="shared" si="1"/>
        <v>46546</v>
      </c>
      <c r="BK2" s="56">
        <f t="shared" si="1"/>
        <v>46553</v>
      </c>
      <c r="BL2" s="56">
        <f t="shared" si="1"/>
        <v>46560</v>
      </c>
      <c r="BM2" s="56">
        <f t="shared" si="1"/>
        <v>46567</v>
      </c>
      <c r="BN2" s="56">
        <f t="shared" si="1"/>
        <v>46574</v>
      </c>
      <c r="BO2" s="56">
        <f t="shared" si="1"/>
        <v>46581</v>
      </c>
      <c r="BP2" s="56">
        <f t="shared" si="1"/>
        <v>46588</v>
      </c>
      <c r="BQ2" s="56">
        <f t="shared" si="1"/>
        <v>46595</v>
      </c>
      <c r="BR2" s="56">
        <f t="shared" si="1"/>
        <v>46602</v>
      </c>
      <c r="BS2" s="56">
        <f t="shared" si="1"/>
        <v>46609</v>
      </c>
      <c r="BT2" s="56">
        <f t="shared" si="1"/>
        <v>46616</v>
      </c>
      <c r="BU2" s="56">
        <f t="shared" si="1"/>
        <v>46623</v>
      </c>
      <c r="BV2" s="56">
        <f t="shared" si="1"/>
        <v>46630</v>
      </c>
      <c r="BW2" s="56">
        <f t="shared" si="1"/>
        <v>46637</v>
      </c>
      <c r="BX2" s="56">
        <f t="shared" si="1"/>
        <v>46644</v>
      </c>
      <c r="BY2" s="56">
        <f t="shared" si="1"/>
        <v>46651</v>
      </c>
      <c r="BZ2" s="56">
        <f t="shared" si="1"/>
        <v>46658</v>
      </c>
      <c r="CA2" s="56">
        <f t="shared" si="1"/>
        <v>46665</v>
      </c>
      <c r="CB2" s="56">
        <f t="shared" si="1"/>
        <v>46672</v>
      </c>
      <c r="CC2" s="56">
        <f t="shared" si="1"/>
        <v>46679</v>
      </c>
      <c r="CD2" s="56">
        <f t="shared" si="1"/>
        <v>46686</v>
      </c>
      <c r="CE2" s="56">
        <f t="shared" si="1"/>
        <v>46693</v>
      </c>
      <c r="CF2" s="56">
        <f t="shared" si="1"/>
        <v>46700</v>
      </c>
      <c r="CG2" s="56">
        <f t="shared" si="1"/>
        <v>46707</v>
      </c>
      <c r="CH2" s="56">
        <f t="shared" si="1"/>
        <v>46714</v>
      </c>
      <c r="CI2" s="56">
        <f t="shared" si="1"/>
        <v>46721</v>
      </c>
      <c r="CJ2" s="56">
        <f t="shared" si="1"/>
        <v>46728</v>
      </c>
      <c r="CK2" s="56">
        <f t="shared" si="1"/>
        <v>46735</v>
      </c>
      <c r="CL2" s="56">
        <f t="shared" si="1"/>
        <v>46742</v>
      </c>
      <c r="CM2" s="56">
        <f t="shared" si="1"/>
        <v>46749</v>
      </c>
      <c r="CN2" s="56">
        <f t="shared" si="1"/>
        <v>46756</v>
      </c>
      <c r="CO2" s="56">
        <f t="shared" si="1"/>
        <v>46763</v>
      </c>
      <c r="CP2" s="56">
        <f t="shared" si="1"/>
        <v>46770</v>
      </c>
      <c r="CQ2" s="56">
        <f t="shared" si="1"/>
        <v>46777</v>
      </c>
      <c r="CR2" s="56">
        <f t="shared" si="1"/>
        <v>46784</v>
      </c>
      <c r="CS2" s="56">
        <f t="shared" si="1"/>
        <v>46791</v>
      </c>
      <c r="CT2" s="56">
        <f t="shared" si="1"/>
        <v>46798</v>
      </c>
      <c r="CU2" s="56">
        <f t="shared" si="1"/>
        <v>46805</v>
      </c>
      <c r="CV2" s="56">
        <f t="shared" si="1"/>
        <v>46812</v>
      </c>
      <c r="CW2" s="56">
        <f t="shared" si="1"/>
        <v>46819</v>
      </c>
      <c r="CX2" s="56">
        <f t="shared" si="1"/>
        <v>46826</v>
      </c>
      <c r="CY2" s="56">
        <f t="shared" si="1"/>
        <v>46833</v>
      </c>
      <c r="CZ2" s="56">
        <f t="shared" si="1"/>
        <v>46840</v>
      </c>
      <c r="DA2" s="56">
        <f t="shared" si="1"/>
        <v>46847</v>
      </c>
      <c r="DB2" s="56">
        <f t="shared" si="1"/>
        <v>46854</v>
      </c>
      <c r="DC2" s="56">
        <f t="shared" si="1"/>
        <v>46861</v>
      </c>
      <c r="DD2" s="56">
        <f t="shared" si="1"/>
        <v>46868</v>
      </c>
      <c r="DE2" s="56">
        <f t="shared" si="1"/>
        <v>46875</v>
      </c>
      <c r="DF2" s="56">
        <f t="shared" si="1"/>
        <v>46882</v>
      </c>
      <c r="DG2" s="56">
        <f t="shared" si="1"/>
        <v>46889</v>
      </c>
      <c r="DH2" s="56">
        <f t="shared" si="1"/>
        <v>46896</v>
      </c>
      <c r="DI2" s="56">
        <f t="shared" si="1"/>
        <v>46903</v>
      </c>
      <c r="DJ2" s="56">
        <f t="shared" si="1"/>
        <v>46910</v>
      </c>
      <c r="DK2" s="56">
        <f t="shared" si="1"/>
        <v>46917</v>
      </c>
      <c r="DL2" s="56">
        <f t="shared" si="1"/>
        <v>46924</v>
      </c>
      <c r="DM2" s="56">
        <f t="shared" si="1"/>
        <v>46931</v>
      </c>
      <c r="DN2" s="56">
        <f t="shared" si="1"/>
        <v>46938</v>
      </c>
      <c r="DO2" s="56">
        <f t="shared" si="1"/>
        <v>46945</v>
      </c>
      <c r="DP2" s="56">
        <f t="shared" si="1"/>
        <v>46952</v>
      </c>
      <c r="DQ2" s="56">
        <f t="shared" si="1"/>
        <v>46959</v>
      </c>
      <c r="DR2" s="56">
        <f t="shared" si="1"/>
        <v>46966</v>
      </c>
      <c r="DS2" s="56">
        <f t="shared" si="1"/>
        <v>46973</v>
      </c>
      <c r="DT2" s="56">
        <f t="shared" si="1"/>
        <v>46980</v>
      </c>
      <c r="DU2" s="56">
        <f t="shared" si="1"/>
        <v>46987</v>
      </c>
      <c r="DV2" s="56">
        <f t="shared" si="1"/>
        <v>46994</v>
      </c>
      <c r="DW2" s="56">
        <f t="shared" si="1"/>
        <v>47001</v>
      </c>
      <c r="DX2" s="56">
        <f t="shared" si="1"/>
        <v>47008</v>
      </c>
      <c r="DY2" s="56">
        <f t="shared" si="1"/>
        <v>47015</v>
      </c>
      <c r="DZ2" s="56">
        <f t="shared" si="1"/>
        <v>47022</v>
      </c>
      <c r="EA2" s="56">
        <f t="shared" si="1"/>
        <v>47029</v>
      </c>
      <c r="EB2" s="56">
        <f t="shared" si="1"/>
        <v>47036</v>
      </c>
      <c r="EC2" s="56">
        <f t="shared" si="1"/>
        <v>47043</v>
      </c>
      <c r="ED2" s="56">
        <f t="shared" si="1"/>
        <v>47050</v>
      </c>
      <c r="EE2" s="56">
        <f t="shared" si="1"/>
        <v>47057</v>
      </c>
      <c r="EF2" s="56">
        <f t="shared" si="1"/>
        <v>47064</v>
      </c>
      <c r="EG2" s="56">
        <f t="shared" si="1"/>
        <v>47071</v>
      </c>
      <c r="EH2" s="56">
        <f t="shared" si="1"/>
        <v>47078</v>
      </c>
      <c r="EI2" s="56">
        <f t="shared" si="1"/>
        <v>47085</v>
      </c>
      <c r="EJ2" s="56">
        <f t="shared" si="1"/>
        <v>47092</v>
      </c>
      <c r="EK2" s="56">
        <f t="shared" si="1"/>
        <v>47099</v>
      </c>
      <c r="EL2" s="56">
        <f t="shared" si="1"/>
        <v>47106</v>
      </c>
      <c r="EM2" s="56">
        <f t="shared" si="1"/>
        <v>47113</v>
      </c>
      <c r="EN2" s="56">
        <f t="shared" si="1"/>
        <v>47120</v>
      </c>
      <c r="EO2" s="56">
        <f t="shared" si="1"/>
        <v>47127</v>
      </c>
      <c r="EP2" s="56">
        <f t="shared" si="1"/>
        <v>47134</v>
      </c>
      <c r="EQ2" s="56">
        <f t="shared" si="1"/>
        <v>47141</v>
      </c>
      <c r="ER2" s="56">
        <f t="shared" si="1"/>
        <v>47148</v>
      </c>
      <c r="ES2" s="56">
        <f t="shared" si="1"/>
        <v>47155</v>
      </c>
      <c r="ET2" s="56">
        <f t="shared" si="1"/>
        <v>47162</v>
      </c>
      <c r="EU2" s="56">
        <f t="shared" si="1"/>
        <v>47169</v>
      </c>
      <c r="EV2" s="56">
        <f t="shared" si="1"/>
        <v>47176</v>
      </c>
      <c r="EW2" s="56">
        <f t="shared" si="1"/>
        <v>47183</v>
      </c>
      <c r="EX2" s="56">
        <f t="shared" si="1"/>
        <v>47190</v>
      </c>
      <c r="EY2" s="56">
        <f t="shared" si="1"/>
        <v>47197</v>
      </c>
      <c r="EZ2" s="56">
        <f t="shared" si="1"/>
        <v>47204</v>
      </c>
      <c r="FA2" s="56">
        <f t="shared" si="1"/>
        <v>47211</v>
      </c>
      <c r="FB2" s="56">
        <f t="shared" si="1"/>
        <v>47218</v>
      </c>
      <c r="FC2" s="56">
        <f t="shared" si="1"/>
        <v>47225</v>
      </c>
      <c r="FD2" s="56">
        <f t="shared" si="1"/>
        <v>47232</v>
      </c>
      <c r="FE2" s="56">
        <f t="shared" si="1"/>
        <v>47239</v>
      </c>
      <c r="FF2" s="56">
        <f t="shared" si="1"/>
        <v>47246</v>
      </c>
      <c r="FG2" s="56">
        <f t="shared" si="1"/>
        <v>47253</v>
      </c>
      <c r="FH2" s="56">
        <f t="shared" si="1"/>
        <v>47260</v>
      </c>
      <c r="FI2" s="56">
        <f t="shared" si="1"/>
        <v>47267</v>
      </c>
      <c r="FJ2" s="56">
        <f t="shared" si="1"/>
        <v>47274</v>
      </c>
      <c r="FK2" s="56">
        <f t="shared" si="1"/>
        <v>47281</v>
      </c>
      <c r="FL2" s="56">
        <f t="shared" si="1"/>
        <v>47288</v>
      </c>
      <c r="FM2" s="56">
        <f t="shared" si="1"/>
        <v>47295</v>
      </c>
      <c r="FN2" s="56">
        <f t="shared" si="1"/>
        <v>47302</v>
      </c>
      <c r="FO2" s="56">
        <f t="shared" si="1"/>
        <v>47309</v>
      </c>
      <c r="FP2" s="56">
        <f t="shared" si="1"/>
        <v>47316</v>
      </c>
      <c r="FQ2" s="56">
        <f t="shared" si="1"/>
        <v>47323</v>
      </c>
      <c r="FR2" s="56">
        <f t="shared" si="1"/>
        <v>47330</v>
      </c>
      <c r="FS2" s="56">
        <f t="shared" si="1"/>
        <v>47337</v>
      </c>
      <c r="FT2" s="56">
        <f t="shared" si="1"/>
        <v>47344</v>
      </c>
      <c r="FU2" s="56">
        <f t="shared" si="1"/>
        <v>47351</v>
      </c>
      <c r="FV2" s="56">
        <f t="shared" si="1"/>
        <v>47358</v>
      </c>
      <c r="FW2" s="56">
        <f t="shared" si="1"/>
        <v>47365</v>
      </c>
      <c r="FX2" s="56">
        <f t="shared" si="1"/>
        <v>47372</v>
      </c>
      <c r="FY2" s="56">
        <f t="shared" si="1"/>
        <v>47379</v>
      </c>
      <c r="FZ2" s="56">
        <f t="shared" si="1"/>
        <v>47386</v>
      </c>
      <c r="GA2" s="56">
        <f t="shared" si="1"/>
        <v>47393</v>
      </c>
      <c r="GB2" s="56">
        <f t="shared" si="1"/>
        <v>47400</v>
      </c>
      <c r="GC2" s="56">
        <f t="shared" si="1"/>
        <v>47407</v>
      </c>
      <c r="GD2" s="56">
        <f t="shared" si="1"/>
        <v>47414</v>
      </c>
      <c r="GE2" s="56">
        <f t="shared" si="1"/>
        <v>47421</v>
      </c>
      <c r="GF2" s="56">
        <f t="shared" si="1"/>
        <v>47428</v>
      </c>
      <c r="GG2" s="56">
        <f t="shared" si="1"/>
        <v>47435</v>
      </c>
      <c r="GH2" s="56">
        <f t="shared" si="1"/>
        <v>47442</v>
      </c>
      <c r="GI2" s="56">
        <f t="shared" si="1"/>
        <v>47449</v>
      </c>
      <c r="GJ2" s="56">
        <f t="shared" si="1"/>
        <v>47456</v>
      </c>
      <c r="GK2" s="56">
        <f t="shared" si="1"/>
        <v>47463</v>
      </c>
      <c r="GL2" s="56">
        <f t="shared" si="1"/>
        <v>47470</v>
      </c>
      <c r="GM2" s="56">
        <f t="shared" si="1"/>
        <v>47477</v>
      </c>
      <c r="GN2" s="56">
        <f t="shared" si="1"/>
        <v>47484</v>
      </c>
      <c r="GO2" s="56">
        <f t="shared" si="1"/>
        <v>47491</v>
      </c>
      <c r="GP2" s="56">
        <f t="shared" si="1"/>
        <v>47498</v>
      </c>
      <c r="GQ2" s="56">
        <f t="shared" si="1"/>
        <v>47505</v>
      </c>
      <c r="GR2" s="56">
        <f t="shared" si="1"/>
        <v>47512</v>
      </c>
      <c r="GS2" s="56">
        <f t="shared" si="1"/>
        <v>47519</v>
      </c>
      <c r="GT2" s="56">
        <f t="shared" si="1"/>
        <v>47526</v>
      </c>
      <c r="GU2" s="56">
        <f t="shared" si="1"/>
        <v>47533</v>
      </c>
      <c r="GV2" s="56">
        <f t="shared" si="1"/>
        <v>47540</v>
      </c>
      <c r="GW2" s="56">
        <f t="shared" si="1"/>
        <v>47547</v>
      </c>
      <c r="GX2" s="56">
        <f t="shared" si="1"/>
        <v>47554</v>
      </c>
      <c r="GY2" s="56">
        <f t="shared" si="1"/>
        <v>47561</v>
      </c>
      <c r="GZ2" s="56">
        <f t="shared" si="1"/>
        <v>47568</v>
      </c>
      <c r="HA2" s="56">
        <f t="shared" si="1"/>
        <v>47575</v>
      </c>
      <c r="HB2" s="56">
        <f t="shared" si="1"/>
        <v>47582</v>
      </c>
      <c r="HC2" s="56">
        <f t="shared" si="1"/>
        <v>47589</v>
      </c>
      <c r="HD2" s="56">
        <f t="shared" si="1"/>
        <v>47596</v>
      </c>
      <c r="HE2" s="56">
        <f t="shared" si="1"/>
        <v>47603</v>
      </c>
      <c r="HF2" s="56">
        <f t="shared" si="1"/>
        <v>47610</v>
      </c>
      <c r="HG2" s="56">
        <f t="shared" si="1"/>
        <v>47617</v>
      </c>
      <c r="HH2" s="56">
        <f t="shared" si="1"/>
        <v>47624</v>
      </c>
      <c r="HI2" s="56">
        <f t="shared" si="1"/>
        <v>47631</v>
      </c>
      <c r="HJ2" s="56">
        <f t="shared" si="1"/>
        <v>47638</v>
      </c>
      <c r="HK2" s="56">
        <f t="shared" si="1"/>
        <v>47645</v>
      </c>
      <c r="HL2" s="56">
        <f t="shared" si="1"/>
        <v>47652</v>
      </c>
      <c r="HM2" s="56">
        <f t="shared" si="1"/>
        <v>47659</v>
      </c>
      <c r="HN2" s="56">
        <f t="shared" si="1"/>
        <v>47666</v>
      </c>
      <c r="HO2" s="56">
        <f t="shared" si="1"/>
        <v>47673</v>
      </c>
      <c r="HP2" s="56">
        <f t="shared" si="1"/>
        <v>47680</v>
      </c>
      <c r="HQ2" s="56">
        <f t="shared" si="1"/>
        <v>47687</v>
      </c>
      <c r="HR2" s="56">
        <f t="shared" si="1"/>
        <v>47694</v>
      </c>
      <c r="HS2" s="56">
        <f t="shared" si="1"/>
        <v>47701</v>
      </c>
      <c r="HT2" s="56">
        <f t="shared" si="1"/>
        <v>47708</v>
      </c>
      <c r="HU2" s="56">
        <f t="shared" si="1"/>
        <v>47715</v>
      </c>
      <c r="HV2" s="56">
        <f t="shared" si="1"/>
        <v>47722</v>
      </c>
      <c r="HW2" s="56">
        <f t="shared" si="1"/>
        <v>47729</v>
      </c>
      <c r="HX2" s="56">
        <f t="shared" si="1"/>
        <v>47736</v>
      </c>
      <c r="HY2" s="56">
        <f t="shared" si="1"/>
        <v>47743</v>
      </c>
      <c r="HZ2" s="56">
        <f t="shared" si="1"/>
        <v>47750</v>
      </c>
      <c r="IA2" s="56">
        <f t="shared" si="1"/>
        <v>47757</v>
      </c>
    </row>
    <row r="3" ht="14.25" customHeight="1">
      <c r="A3" s="29" t="s">
        <v>44</v>
      </c>
      <c r="B3" s="29">
        <v>100.0</v>
      </c>
      <c r="C3" s="29">
        <v>100.0</v>
      </c>
      <c r="D3" s="1">
        <v>100.0</v>
      </c>
      <c r="E3" s="1">
        <v>100.0</v>
      </c>
      <c r="F3" s="1">
        <v>100.0</v>
      </c>
      <c r="G3" s="1">
        <v>100.0</v>
      </c>
      <c r="H3" s="1">
        <v>100.0</v>
      </c>
      <c r="I3" s="1">
        <v>100.0</v>
      </c>
      <c r="J3" s="1">
        <v>100.0</v>
      </c>
      <c r="K3" s="1">
        <v>100.0</v>
      </c>
      <c r="L3" s="1">
        <v>100.0</v>
      </c>
      <c r="M3" s="1">
        <v>100.0</v>
      </c>
      <c r="N3" s="1">
        <v>100.0</v>
      </c>
      <c r="O3" s="1">
        <v>100.0</v>
      </c>
      <c r="P3" s="1">
        <v>100.0</v>
      </c>
      <c r="Q3" s="1">
        <v>100.0</v>
      </c>
      <c r="R3" s="1">
        <v>100.0</v>
      </c>
      <c r="S3" s="1">
        <v>100.0</v>
      </c>
      <c r="T3" s="1">
        <v>100.0</v>
      </c>
      <c r="U3" s="1">
        <v>100.0</v>
      </c>
      <c r="V3" s="1">
        <v>100.0</v>
      </c>
      <c r="W3" s="1">
        <v>100.0</v>
      </c>
      <c r="X3" s="1">
        <v>100.0</v>
      </c>
      <c r="Y3" s="1">
        <v>100.0</v>
      </c>
      <c r="Z3" s="1">
        <v>100.0</v>
      </c>
      <c r="AA3" s="1">
        <v>100.0</v>
      </c>
      <c r="AB3" s="1">
        <v>100.0</v>
      </c>
      <c r="AC3" s="1">
        <v>100.0</v>
      </c>
      <c r="AD3" s="1">
        <v>100.0</v>
      </c>
      <c r="AE3" s="1">
        <v>100.0</v>
      </c>
      <c r="AF3" s="1">
        <v>100.0</v>
      </c>
      <c r="AG3" s="1">
        <v>100.0</v>
      </c>
      <c r="AH3" s="1">
        <v>100.0</v>
      </c>
      <c r="AI3" s="1">
        <v>100.0</v>
      </c>
      <c r="AJ3" s="1">
        <v>100.0</v>
      </c>
      <c r="AK3" s="1">
        <v>100.0</v>
      </c>
      <c r="AL3" s="1">
        <v>100.0</v>
      </c>
      <c r="AM3" s="1">
        <v>100.0</v>
      </c>
      <c r="AN3" s="1">
        <v>100.0</v>
      </c>
      <c r="AO3" s="1">
        <v>100.0</v>
      </c>
      <c r="AP3" s="1">
        <v>100.0</v>
      </c>
      <c r="AQ3" s="1">
        <v>100.0</v>
      </c>
      <c r="AR3" s="1">
        <v>100.0</v>
      </c>
      <c r="AS3" s="1">
        <v>100.0</v>
      </c>
      <c r="AT3" s="1">
        <v>100.0</v>
      </c>
      <c r="AU3" s="1">
        <v>100.0</v>
      </c>
      <c r="AV3" s="1">
        <v>100.0</v>
      </c>
      <c r="AW3" s="1">
        <v>100.0</v>
      </c>
      <c r="AX3" s="1">
        <v>100.0</v>
      </c>
      <c r="AY3" s="1">
        <v>100.0</v>
      </c>
      <c r="AZ3" s="1">
        <v>100.0</v>
      </c>
      <c r="BA3" s="1">
        <v>100.0</v>
      </c>
      <c r="BB3" s="1">
        <v>100.0</v>
      </c>
      <c r="BC3" s="1">
        <v>100.0</v>
      </c>
      <c r="BD3" s="1">
        <v>100.0</v>
      </c>
      <c r="BE3" s="1">
        <v>100.0</v>
      </c>
      <c r="BF3" s="1">
        <v>100.0</v>
      </c>
      <c r="BG3" s="1">
        <v>100.0</v>
      </c>
      <c r="BH3" s="1">
        <v>100.0</v>
      </c>
      <c r="BI3" s="1">
        <v>100.0</v>
      </c>
      <c r="BJ3" s="1">
        <v>100.0</v>
      </c>
      <c r="BK3" s="1">
        <v>100.0</v>
      </c>
      <c r="BL3" s="1">
        <v>100.0</v>
      </c>
      <c r="BM3" s="1">
        <v>100.0</v>
      </c>
      <c r="BN3" s="1">
        <v>100.0</v>
      </c>
      <c r="BO3" s="1">
        <v>100.0</v>
      </c>
      <c r="BP3" s="1">
        <v>100.0</v>
      </c>
      <c r="BQ3" s="1">
        <v>100.0</v>
      </c>
      <c r="BR3" s="1">
        <v>100.0</v>
      </c>
      <c r="BS3" s="1">
        <v>100.0</v>
      </c>
      <c r="BT3" s="1">
        <v>100.0</v>
      </c>
      <c r="BU3" s="1">
        <v>100.0</v>
      </c>
      <c r="BV3" s="1">
        <v>100.0</v>
      </c>
      <c r="BW3" s="1">
        <v>100.0</v>
      </c>
      <c r="BX3" s="1">
        <v>100.0</v>
      </c>
      <c r="BY3" s="1">
        <v>100.0</v>
      </c>
      <c r="BZ3" s="1">
        <v>100.0</v>
      </c>
      <c r="CA3" s="1">
        <v>100.0</v>
      </c>
      <c r="CB3" s="1">
        <v>100.0</v>
      </c>
      <c r="CC3" s="1">
        <v>100.0</v>
      </c>
      <c r="CD3" s="1">
        <v>100.0</v>
      </c>
      <c r="CE3" s="1">
        <v>100.0</v>
      </c>
      <c r="CF3" s="1">
        <v>100.0</v>
      </c>
      <c r="CG3" s="1">
        <v>100.0</v>
      </c>
      <c r="CH3" s="1">
        <v>100.0</v>
      </c>
      <c r="CI3" s="1">
        <v>100.0</v>
      </c>
      <c r="CJ3" s="1">
        <v>100.0</v>
      </c>
      <c r="CK3" s="1">
        <v>100.0</v>
      </c>
      <c r="CL3" s="1">
        <v>100.0</v>
      </c>
      <c r="CM3" s="1">
        <v>100.0</v>
      </c>
      <c r="CN3" s="1">
        <v>100.0</v>
      </c>
      <c r="CO3" s="1">
        <v>100.0</v>
      </c>
      <c r="CP3" s="1">
        <v>100.0</v>
      </c>
      <c r="CQ3" s="1">
        <v>100.0</v>
      </c>
      <c r="CR3" s="1">
        <v>100.0</v>
      </c>
      <c r="CS3" s="1">
        <v>100.0</v>
      </c>
      <c r="CT3" s="1">
        <v>100.0</v>
      </c>
      <c r="CU3" s="1">
        <v>100.0</v>
      </c>
      <c r="CV3" s="1">
        <v>100.0</v>
      </c>
      <c r="CW3" s="1">
        <v>100.0</v>
      </c>
      <c r="CX3" s="1">
        <v>100.0</v>
      </c>
      <c r="CY3" s="1">
        <v>100.0</v>
      </c>
      <c r="CZ3" s="1">
        <v>100.0</v>
      </c>
      <c r="DA3" s="1">
        <v>100.0</v>
      </c>
      <c r="DB3" s="1">
        <v>100.0</v>
      </c>
      <c r="DC3" s="1">
        <v>100.0</v>
      </c>
      <c r="DD3" s="1">
        <v>100.0</v>
      </c>
      <c r="DE3" s="1">
        <v>100.0</v>
      </c>
      <c r="DF3" s="1">
        <v>100.0</v>
      </c>
      <c r="DG3" s="1">
        <v>100.0</v>
      </c>
      <c r="DH3" s="1">
        <v>100.0</v>
      </c>
      <c r="DI3" s="1">
        <v>100.0</v>
      </c>
      <c r="DJ3" s="1">
        <v>100.0</v>
      </c>
      <c r="DK3" s="1">
        <v>100.0</v>
      </c>
      <c r="DL3" s="1">
        <v>100.0</v>
      </c>
      <c r="DM3" s="1">
        <v>100.0</v>
      </c>
      <c r="DN3" s="1">
        <v>100.0</v>
      </c>
      <c r="DO3" s="1">
        <v>100.0</v>
      </c>
      <c r="DP3" s="1">
        <v>100.0</v>
      </c>
      <c r="DQ3" s="1">
        <v>100.0</v>
      </c>
      <c r="DR3" s="1">
        <v>100.0</v>
      </c>
      <c r="DS3" s="1">
        <v>100.0</v>
      </c>
      <c r="DT3" s="1">
        <v>100.0</v>
      </c>
      <c r="DU3" s="1">
        <v>100.0</v>
      </c>
      <c r="DV3" s="1">
        <v>100.0</v>
      </c>
      <c r="DW3" s="1">
        <v>100.0</v>
      </c>
      <c r="DX3" s="1">
        <v>100.0</v>
      </c>
      <c r="DY3" s="1">
        <v>100.0</v>
      </c>
      <c r="DZ3" s="1">
        <v>100.0</v>
      </c>
      <c r="EA3" s="1">
        <v>100.0</v>
      </c>
      <c r="EB3" s="1">
        <v>100.0</v>
      </c>
      <c r="EC3" s="1">
        <v>100.0</v>
      </c>
      <c r="ED3" s="1">
        <v>100.0</v>
      </c>
      <c r="EE3" s="1">
        <v>100.0</v>
      </c>
      <c r="EF3" s="1">
        <v>100.0</v>
      </c>
      <c r="EG3" s="1">
        <v>100.0</v>
      </c>
      <c r="EH3" s="1">
        <v>100.0</v>
      </c>
      <c r="EI3" s="1">
        <v>100.0</v>
      </c>
      <c r="EJ3" s="1">
        <v>100.0</v>
      </c>
      <c r="EK3" s="1">
        <v>100.0</v>
      </c>
      <c r="EL3" s="1">
        <v>100.0</v>
      </c>
      <c r="EM3" s="1">
        <v>100.0</v>
      </c>
      <c r="EN3" s="1">
        <v>100.0</v>
      </c>
      <c r="EO3" s="1">
        <v>100.0</v>
      </c>
      <c r="EP3" s="1">
        <v>100.0</v>
      </c>
      <c r="EQ3" s="1">
        <v>100.0</v>
      </c>
      <c r="ER3" s="1">
        <v>100.0</v>
      </c>
      <c r="ES3" s="1">
        <v>100.0</v>
      </c>
      <c r="ET3" s="1">
        <v>100.0</v>
      </c>
      <c r="EU3" s="1">
        <v>100.0</v>
      </c>
      <c r="EV3" s="1">
        <v>100.0</v>
      </c>
      <c r="EW3" s="1">
        <v>100.0</v>
      </c>
      <c r="EX3" s="1">
        <v>100.0</v>
      </c>
      <c r="EY3" s="1">
        <v>100.0</v>
      </c>
      <c r="EZ3" s="1">
        <v>100.0</v>
      </c>
      <c r="FA3" s="1">
        <v>100.0</v>
      </c>
      <c r="FB3" s="1">
        <v>100.0</v>
      </c>
      <c r="FC3" s="1">
        <v>100.0</v>
      </c>
      <c r="FD3" s="1">
        <v>100.0</v>
      </c>
      <c r="FE3" s="1">
        <v>100.0</v>
      </c>
      <c r="FF3" s="1">
        <v>100.0</v>
      </c>
      <c r="FG3" s="1">
        <v>100.0</v>
      </c>
      <c r="FH3" s="1">
        <v>100.0</v>
      </c>
      <c r="FI3" s="1">
        <v>100.0</v>
      </c>
      <c r="FJ3" s="1">
        <v>100.0</v>
      </c>
      <c r="FK3" s="1">
        <v>100.0</v>
      </c>
      <c r="FL3" s="1">
        <v>100.0</v>
      </c>
      <c r="FM3" s="1">
        <v>100.0</v>
      </c>
      <c r="FN3" s="1">
        <v>100.0</v>
      </c>
      <c r="FO3" s="1">
        <v>100.0</v>
      </c>
      <c r="FP3" s="1">
        <v>100.0</v>
      </c>
      <c r="FQ3" s="1">
        <v>100.0</v>
      </c>
      <c r="FR3" s="1">
        <v>100.0</v>
      </c>
      <c r="FS3" s="1">
        <v>100.0</v>
      </c>
      <c r="FT3" s="1">
        <v>100.0</v>
      </c>
      <c r="FU3" s="1">
        <v>100.0</v>
      </c>
      <c r="FV3" s="1">
        <v>100.0</v>
      </c>
      <c r="FW3" s="1">
        <v>100.0</v>
      </c>
      <c r="FX3" s="1">
        <v>100.0</v>
      </c>
      <c r="FY3" s="1">
        <v>100.0</v>
      </c>
      <c r="FZ3" s="1">
        <v>100.0</v>
      </c>
      <c r="GA3" s="1">
        <v>100.0</v>
      </c>
      <c r="GB3" s="1">
        <v>100.0</v>
      </c>
      <c r="GC3" s="1">
        <v>100.0</v>
      </c>
      <c r="GD3" s="1">
        <v>100.0</v>
      </c>
      <c r="GE3" s="1">
        <v>100.0</v>
      </c>
      <c r="GF3" s="1">
        <v>100.0</v>
      </c>
      <c r="GG3" s="1">
        <v>100.0</v>
      </c>
      <c r="GH3" s="1">
        <v>100.0</v>
      </c>
      <c r="GI3" s="1">
        <v>100.0</v>
      </c>
      <c r="GJ3" s="1">
        <v>100.0</v>
      </c>
      <c r="GK3" s="1">
        <v>100.0</v>
      </c>
      <c r="GL3" s="1">
        <v>100.0</v>
      </c>
      <c r="GM3" s="1">
        <v>100.0</v>
      </c>
      <c r="GN3" s="1">
        <v>100.0</v>
      </c>
      <c r="GO3" s="1">
        <v>100.0</v>
      </c>
      <c r="GP3" s="1">
        <v>100.0</v>
      </c>
      <c r="GQ3" s="1">
        <v>100.0</v>
      </c>
      <c r="GR3" s="1">
        <v>100.0</v>
      </c>
      <c r="GS3" s="1">
        <v>100.0</v>
      </c>
      <c r="GT3" s="1">
        <v>100.0</v>
      </c>
      <c r="GU3" s="1">
        <v>100.0</v>
      </c>
      <c r="GV3" s="1">
        <v>100.0</v>
      </c>
      <c r="GW3" s="1">
        <v>100.0</v>
      </c>
      <c r="GX3" s="1">
        <v>100.0</v>
      </c>
      <c r="GY3" s="1">
        <v>100.0</v>
      </c>
      <c r="GZ3" s="1">
        <v>100.0</v>
      </c>
      <c r="HA3" s="1">
        <v>100.0</v>
      </c>
      <c r="HB3" s="1">
        <v>100.0</v>
      </c>
      <c r="HC3" s="1">
        <v>100.0</v>
      </c>
      <c r="HD3" s="1">
        <v>100.0</v>
      </c>
      <c r="HE3" s="1">
        <v>100.0</v>
      </c>
      <c r="HF3" s="1">
        <v>100.0</v>
      </c>
      <c r="HG3" s="1">
        <v>100.0</v>
      </c>
      <c r="HH3" s="1">
        <v>100.0</v>
      </c>
      <c r="HI3" s="1">
        <v>100.0</v>
      </c>
      <c r="HJ3" s="1">
        <v>100.0</v>
      </c>
      <c r="HK3" s="1">
        <v>100.0</v>
      </c>
      <c r="HL3" s="1">
        <v>100.0</v>
      </c>
      <c r="HM3" s="1">
        <v>100.0</v>
      </c>
      <c r="HN3" s="1">
        <v>100.0</v>
      </c>
      <c r="HO3" s="1">
        <v>100.0</v>
      </c>
      <c r="HP3" s="1">
        <v>100.0</v>
      </c>
      <c r="HQ3" s="1">
        <v>100.0</v>
      </c>
      <c r="HR3" s="1">
        <v>100.0</v>
      </c>
      <c r="HS3" s="1">
        <v>100.0</v>
      </c>
      <c r="HT3" s="1">
        <v>100.0</v>
      </c>
      <c r="HU3" s="1">
        <v>100.0</v>
      </c>
      <c r="HV3" s="1">
        <v>100.0</v>
      </c>
      <c r="HW3" s="1">
        <v>100.0</v>
      </c>
      <c r="HX3" s="1">
        <v>100.0</v>
      </c>
      <c r="HY3" s="1">
        <v>100.0</v>
      </c>
      <c r="HZ3" s="1">
        <v>100.0</v>
      </c>
      <c r="IA3" s="1">
        <v>100.0</v>
      </c>
    </row>
    <row r="4" ht="14.25" customHeight="1">
      <c r="A4" s="29" t="s">
        <v>45</v>
      </c>
      <c r="B4" s="29">
        <f t="shared" ref="B4:IA4" si="2">SUM(B5:B7)</f>
        <v>3</v>
      </c>
      <c r="C4" s="1">
        <f t="shared" si="2"/>
        <v>7</v>
      </c>
      <c r="D4" s="1">
        <f t="shared" si="2"/>
        <v>12</v>
      </c>
      <c r="E4" s="1">
        <f t="shared" si="2"/>
        <v>15</v>
      </c>
      <c r="F4" s="1">
        <f t="shared" si="2"/>
        <v>18</v>
      </c>
      <c r="G4" s="1">
        <f t="shared" si="2"/>
        <v>23</v>
      </c>
      <c r="H4" s="1">
        <f t="shared" si="2"/>
        <v>31</v>
      </c>
      <c r="I4" s="1">
        <f t="shared" si="2"/>
        <v>32</v>
      </c>
      <c r="J4" s="1">
        <f t="shared" si="2"/>
        <v>37</v>
      </c>
      <c r="K4" s="1">
        <f t="shared" si="2"/>
        <v>41</v>
      </c>
      <c r="L4" s="1">
        <f t="shared" si="2"/>
        <v>45</v>
      </c>
      <c r="M4" s="1">
        <f t="shared" si="2"/>
        <v>45</v>
      </c>
      <c r="N4" s="1">
        <f t="shared" si="2"/>
        <v>45</v>
      </c>
      <c r="O4" s="1">
        <f t="shared" si="2"/>
        <v>48</v>
      </c>
      <c r="P4" s="1">
        <f t="shared" si="2"/>
        <v>53</v>
      </c>
      <c r="Q4" s="1">
        <f t="shared" si="2"/>
        <v>58</v>
      </c>
      <c r="R4" s="1">
        <f t="shared" si="2"/>
        <v>0</v>
      </c>
      <c r="S4" s="1">
        <f t="shared" si="2"/>
        <v>0</v>
      </c>
      <c r="T4" s="1">
        <f t="shared" si="2"/>
        <v>0</v>
      </c>
      <c r="U4" s="1">
        <f t="shared" si="2"/>
        <v>0</v>
      </c>
      <c r="V4" s="1">
        <f t="shared" si="2"/>
        <v>0</v>
      </c>
      <c r="W4" s="1">
        <f t="shared" si="2"/>
        <v>0</v>
      </c>
      <c r="X4" s="1">
        <f t="shared" si="2"/>
        <v>0</v>
      </c>
      <c r="Y4" s="1">
        <f t="shared" si="2"/>
        <v>0</v>
      </c>
      <c r="Z4" s="1">
        <f t="shared" si="2"/>
        <v>0</v>
      </c>
      <c r="AA4" s="1">
        <f t="shared" si="2"/>
        <v>0</v>
      </c>
      <c r="AB4" s="1">
        <f t="shared" si="2"/>
        <v>0</v>
      </c>
      <c r="AC4" s="1">
        <f t="shared" si="2"/>
        <v>0</v>
      </c>
      <c r="AD4" s="1">
        <f t="shared" si="2"/>
        <v>0</v>
      </c>
      <c r="AE4" s="1">
        <f t="shared" si="2"/>
        <v>0</v>
      </c>
      <c r="AF4" s="1">
        <f t="shared" si="2"/>
        <v>0</v>
      </c>
      <c r="AG4" s="1">
        <f t="shared" si="2"/>
        <v>0</v>
      </c>
      <c r="AH4" s="1">
        <f t="shared" si="2"/>
        <v>0</v>
      </c>
      <c r="AI4" s="1">
        <f t="shared" si="2"/>
        <v>0</v>
      </c>
      <c r="AJ4" s="1">
        <f t="shared" si="2"/>
        <v>0</v>
      </c>
      <c r="AK4" s="1">
        <f t="shared" si="2"/>
        <v>0</v>
      </c>
      <c r="AL4" s="1">
        <f t="shared" si="2"/>
        <v>0</v>
      </c>
      <c r="AM4" s="1">
        <f t="shared" si="2"/>
        <v>0</v>
      </c>
      <c r="AN4" s="1">
        <f t="shared" si="2"/>
        <v>0</v>
      </c>
      <c r="AO4" s="1">
        <f t="shared" si="2"/>
        <v>0</v>
      </c>
      <c r="AP4" s="1">
        <f t="shared" si="2"/>
        <v>0</v>
      </c>
      <c r="AQ4" s="1">
        <f t="shared" si="2"/>
        <v>0</v>
      </c>
      <c r="AR4" s="1">
        <f t="shared" si="2"/>
        <v>0</v>
      </c>
      <c r="AS4" s="1">
        <f t="shared" si="2"/>
        <v>0</v>
      </c>
      <c r="AT4" s="1">
        <f t="shared" si="2"/>
        <v>0</v>
      </c>
      <c r="AU4" s="1">
        <f t="shared" si="2"/>
        <v>0</v>
      </c>
      <c r="AV4" s="1">
        <f t="shared" si="2"/>
        <v>0</v>
      </c>
      <c r="AW4" s="1">
        <f t="shared" si="2"/>
        <v>0</v>
      </c>
      <c r="AX4" s="1">
        <f t="shared" si="2"/>
        <v>0</v>
      </c>
      <c r="AY4" s="1">
        <f t="shared" si="2"/>
        <v>0</v>
      </c>
      <c r="AZ4" s="1">
        <f t="shared" si="2"/>
        <v>0</v>
      </c>
      <c r="BA4" s="1">
        <f t="shared" si="2"/>
        <v>0</v>
      </c>
      <c r="BB4" s="1">
        <f t="shared" si="2"/>
        <v>0</v>
      </c>
      <c r="BC4" s="1">
        <f t="shared" si="2"/>
        <v>0</v>
      </c>
      <c r="BD4" s="1">
        <f t="shared" si="2"/>
        <v>0</v>
      </c>
      <c r="BE4" s="1">
        <f t="shared" si="2"/>
        <v>0</v>
      </c>
      <c r="BF4" s="1">
        <f t="shared" si="2"/>
        <v>0</v>
      </c>
      <c r="BG4" s="1">
        <f t="shared" si="2"/>
        <v>0</v>
      </c>
      <c r="BH4" s="1">
        <f t="shared" si="2"/>
        <v>0</v>
      </c>
      <c r="BI4" s="1">
        <f t="shared" si="2"/>
        <v>0</v>
      </c>
      <c r="BJ4" s="1">
        <f t="shared" si="2"/>
        <v>0</v>
      </c>
      <c r="BK4" s="1">
        <f t="shared" si="2"/>
        <v>0</v>
      </c>
      <c r="BL4" s="1">
        <f t="shared" si="2"/>
        <v>0</v>
      </c>
      <c r="BM4" s="1">
        <f t="shared" si="2"/>
        <v>0</v>
      </c>
      <c r="BN4" s="1">
        <f t="shared" si="2"/>
        <v>0</v>
      </c>
      <c r="BO4" s="1">
        <f t="shared" si="2"/>
        <v>0</v>
      </c>
      <c r="BP4" s="1">
        <f t="shared" si="2"/>
        <v>0</v>
      </c>
      <c r="BQ4" s="1">
        <f t="shared" si="2"/>
        <v>0</v>
      </c>
      <c r="BR4" s="1">
        <f t="shared" si="2"/>
        <v>0</v>
      </c>
      <c r="BS4" s="1">
        <f t="shared" si="2"/>
        <v>0</v>
      </c>
      <c r="BT4" s="1">
        <f t="shared" si="2"/>
        <v>0</v>
      </c>
      <c r="BU4" s="1">
        <f t="shared" si="2"/>
        <v>0</v>
      </c>
      <c r="BV4" s="1">
        <f t="shared" si="2"/>
        <v>0</v>
      </c>
      <c r="BW4" s="1">
        <f t="shared" si="2"/>
        <v>0</v>
      </c>
      <c r="BX4" s="1">
        <f t="shared" si="2"/>
        <v>0</v>
      </c>
      <c r="BY4" s="1">
        <f t="shared" si="2"/>
        <v>0</v>
      </c>
      <c r="BZ4" s="1">
        <f t="shared" si="2"/>
        <v>0</v>
      </c>
      <c r="CA4" s="1">
        <f t="shared" si="2"/>
        <v>0</v>
      </c>
      <c r="CB4" s="1">
        <f t="shared" si="2"/>
        <v>0</v>
      </c>
      <c r="CC4" s="1">
        <f t="shared" si="2"/>
        <v>0</v>
      </c>
      <c r="CD4" s="1">
        <f t="shared" si="2"/>
        <v>0</v>
      </c>
      <c r="CE4" s="1">
        <f t="shared" si="2"/>
        <v>0</v>
      </c>
      <c r="CF4" s="1">
        <f t="shared" si="2"/>
        <v>0</v>
      </c>
      <c r="CG4" s="1">
        <f t="shared" si="2"/>
        <v>0</v>
      </c>
      <c r="CH4" s="1">
        <f t="shared" si="2"/>
        <v>0</v>
      </c>
      <c r="CI4" s="1">
        <f t="shared" si="2"/>
        <v>0</v>
      </c>
      <c r="CJ4" s="1">
        <f t="shared" si="2"/>
        <v>0</v>
      </c>
      <c r="CK4" s="1">
        <f t="shared" si="2"/>
        <v>0</v>
      </c>
      <c r="CL4" s="1">
        <f t="shared" si="2"/>
        <v>0</v>
      </c>
      <c r="CM4" s="1">
        <f t="shared" si="2"/>
        <v>0</v>
      </c>
      <c r="CN4" s="1">
        <f t="shared" si="2"/>
        <v>0</v>
      </c>
      <c r="CO4" s="1">
        <f t="shared" si="2"/>
        <v>0</v>
      </c>
      <c r="CP4" s="1">
        <f t="shared" si="2"/>
        <v>0</v>
      </c>
      <c r="CQ4" s="1">
        <f t="shared" si="2"/>
        <v>0</v>
      </c>
      <c r="CR4" s="1">
        <f t="shared" si="2"/>
        <v>0</v>
      </c>
      <c r="CS4" s="1">
        <f t="shared" si="2"/>
        <v>0</v>
      </c>
      <c r="CT4" s="1">
        <f t="shared" si="2"/>
        <v>0</v>
      </c>
      <c r="CU4" s="1">
        <f t="shared" si="2"/>
        <v>0</v>
      </c>
      <c r="CV4" s="1">
        <f t="shared" si="2"/>
        <v>0</v>
      </c>
      <c r="CW4" s="1">
        <f t="shared" si="2"/>
        <v>0</v>
      </c>
      <c r="CX4" s="1">
        <f t="shared" si="2"/>
        <v>0</v>
      </c>
      <c r="CY4" s="1">
        <f t="shared" si="2"/>
        <v>0</v>
      </c>
      <c r="CZ4" s="1">
        <f t="shared" si="2"/>
        <v>0</v>
      </c>
      <c r="DA4" s="1">
        <f t="shared" si="2"/>
        <v>0</v>
      </c>
      <c r="DB4" s="1">
        <f t="shared" si="2"/>
        <v>0</v>
      </c>
      <c r="DC4" s="1">
        <f t="shared" si="2"/>
        <v>0</v>
      </c>
      <c r="DD4" s="1">
        <f t="shared" si="2"/>
        <v>0</v>
      </c>
      <c r="DE4" s="1">
        <f t="shared" si="2"/>
        <v>0</v>
      </c>
      <c r="DF4" s="1">
        <f t="shared" si="2"/>
        <v>0</v>
      </c>
      <c r="DG4" s="1">
        <f t="shared" si="2"/>
        <v>0</v>
      </c>
      <c r="DH4" s="1">
        <f t="shared" si="2"/>
        <v>0</v>
      </c>
      <c r="DI4" s="1">
        <f t="shared" si="2"/>
        <v>0</v>
      </c>
      <c r="DJ4" s="1">
        <f t="shared" si="2"/>
        <v>0</v>
      </c>
      <c r="DK4" s="1">
        <f t="shared" si="2"/>
        <v>0</v>
      </c>
      <c r="DL4" s="1">
        <f t="shared" si="2"/>
        <v>0</v>
      </c>
      <c r="DM4" s="1">
        <f t="shared" si="2"/>
        <v>0</v>
      </c>
      <c r="DN4" s="1">
        <f t="shared" si="2"/>
        <v>0</v>
      </c>
      <c r="DO4" s="1">
        <f t="shared" si="2"/>
        <v>0</v>
      </c>
      <c r="DP4" s="1">
        <f t="shared" si="2"/>
        <v>0</v>
      </c>
      <c r="DQ4" s="1">
        <f t="shared" si="2"/>
        <v>0</v>
      </c>
      <c r="DR4" s="1">
        <f t="shared" si="2"/>
        <v>0</v>
      </c>
      <c r="DS4" s="1">
        <f t="shared" si="2"/>
        <v>0</v>
      </c>
      <c r="DT4" s="1">
        <f t="shared" si="2"/>
        <v>0</v>
      </c>
      <c r="DU4" s="1">
        <f t="shared" si="2"/>
        <v>0</v>
      </c>
      <c r="DV4" s="1">
        <f t="shared" si="2"/>
        <v>0</v>
      </c>
      <c r="DW4" s="1">
        <f t="shared" si="2"/>
        <v>0</v>
      </c>
      <c r="DX4" s="1">
        <f t="shared" si="2"/>
        <v>0</v>
      </c>
      <c r="DY4" s="1">
        <f t="shared" si="2"/>
        <v>0</v>
      </c>
      <c r="DZ4" s="1">
        <f t="shared" si="2"/>
        <v>0</v>
      </c>
      <c r="EA4" s="1">
        <f t="shared" si="2"/>
        <v>0</v>
      </c>
      <c r="EB4" s="1">
        <f t="shared" si="2"/>
        <v>0</v>
      </c>
      <c r="EC4" s="1">
        <f t="shared" si="2"/>
        <v>0</v>
      </c>
      <c r="ED4" s="1">
        <f t="shared" si="2"/>
        <v>0</v>
      </c>
      <c r="EE4" s="1">
        <f t="shared" si="2"/>
        <v>0</v>
      </c>
      <c r="EF4" s="1">
        <f t="shared" si="2"/>
        <v>0</v>
      </c>
      <c r="EG4" s="1">
        <f t="shared" si="2"/>
        <v>0</v>
      </c>
      <c r="EH4" s="1">
        <f t="shared" si="2"/>
        <v>0</v>
      </c>
      <c r="EI4" s="1">
        <f t="shared" si="2"/>
        <v>0</v>
      </c>
      <c r="EJ4" s="1">
        <f t="shared" si="2"/>
        <v>0</v>
      </c>
      <c r="EK4" s="1">
        <f t="shared" si="2"/>
        <v>0</v>
      </c>
      <c r="EL4" s="1">
        <f t="shared" si="2"/>
        <v>0</v>
      </c>
      <c r="EM4" s="1">
        <f t="shared" si="2"/>
        <v>0</v>
      </c>
      <c r="EN4" s="1">
        <f t="shared" si="2"/>
        <v>0</v>
      </c>
      <c r="EO4" s="1">
        <f t="shared" si="2"/>
        <v>0</v>
      </c>
      <c r="EP4" s="1">
        <f t="shared" si="2"/>
        <v>0</v>
      </c>
      <c r="EQ4" s="1">
        <f t="shared" si="2"/>
        <v>0</v>
      </c>
      <c r="ER4" s="1">
        <f t="shared" si="2"/>
        <v>0</v>
      </c>
      <c r="ES4" s="1">
        <f t="shared" si="2"/>
        <v>0</v>
      </c>
      <c r="ET4" s="1">
        <f t="shared" si="2"/>
        <v>0</v>
      </c>
      <c r="EU4" s="1">
        <f t="shared" si="2"/>
        <v>0</v>
      </c>
      <c r="EV4" s="1">
        <f t="shared" si="2"/>
        <v>0</v>
      </c>
      <c r="EW4" s="1">
        <f t="shared" si="2"/>
        <v>0</v>
      </c>
      <c r="EX4" s="1">
        <f t="shared" si="2"/>
        <v>0</v>
      </c>
      <c r="EY4" s="1">
        <f t="shared" si="2"/>
        <v>0</v>
      </c>
      <c r="EZ4" s="1">
        <f t="shared" si="2"/>
        <v>0</v>
      </c>
      <c r="FA4" s="1">
        <f t="shared" si="2"/>
        <v>0</v>
      </c>
      <c r="FB4" s="1">
        <f t="shared" si="2"/>
        <v>0</v>
      </c>
      <c r="FC4" s="1">
        <f t="shared" si="2"/>
        <v>0</v>
      </c>
      <c r="FD4" s="1">
        <f t="shared" si="2"/>
        <v>0</v>
      </c>
      <c r="FE4" s="1">
        <f t="shared" si="2"/>
        <v>0</v>
      </c>
      <c r="FF4" s="1">
        <f t="shared" si="2"/>
        <v>0</v>
      </c>
      <c r="FG4" s="1">
        <f t="shared" si="2"/>
        <v>0</v>
      </c>
      <c r="FH4" s="1">
        <f t="shared" si="2"/>
        <v>0</v>
      </c>
      <c r="FI4" s="1">
        <f t="shared" si="2"/>
        <v>0</v>
      </c>
      <c r="FJ4" s="1">
        <f t="shared" si="2"/>
        <v>0</v>
      </c>
      <c r="FK4" s="1">
        <f t="shared" si="2"/>
        <v>0</v>
      </c>
      <c r="FL4" s="1">
        <f t="shared" si="2"/>
        <v>0</v>
      </c>
      <c r="FM4" s="1">
        <f t="shared" si="2"/>
        <v>0</v>
      </c>
      <c r="FN4" s="1">
        <f t="shared" si="2"/>
        <v>0</v>
      </c>
      <c r="FO4" s="1">
        <f t="shared" si="2"/>
        <v>0</v>
      </c>
      <c r="FP4" s="1">
        <f t="shared" si="2"/>
        <v>0</v>
      </c>
      <c r="FQ4" s="1">
        <f t="shared" si="2"/>
        <v>0</v>
      </c>
      <c r="FR4" s="1">
        <f t="shared" si="2"/>
        <v>0</v>
      </c>
      <c r="FS4" s="1">
        <f t="shared" si="2"/>
        <v>0</v>
      </c>
      <c r="FT4" s="1">
        <f t="shared" si="2"/>
        <v>0</v>
      </c>
      <c r="FU4" s="1">
        <f t="shared" si="2"/>
        <v>0</v>
      </c>
      <c r="FV4" s="1">
        <f t="shared" si="2"/>
        <v>0</v>
      </c>
      <c r="FW4" s="1">
        <f t="shared" si="2"/>
        <v>0</v>
      </c>
      <c r="FX4" s="1">
        <f t="shared" si="2"/>
        <v>0</v>
      </c>
      <c r="FY4" s="1">
        <f t="shared" si="2"/>
        <v>0</v>
      </c>
      <c r="FZ4" s="1">
        <f t="shared" si="2"/>
        <v>0</v>
      </c>
      <c r="GA4" s="1">
        <f t="shared" si="2"/>
        <v>0</v>
      </c>
      <c r="GB4" s="1">
        <f t="shared" si="2"/>
        <v>0</v>
      </c>
      <c r="GC4" s="1">
        <f t="shared" si="2"/>
        <v>0</v>
      </c>
      <c r="GD4" s="1">
        <f t="shared" si="2"/>
        <v>0</v>
      </c>
      <c r="GE4" s="1">
        <f t="shared" si="2"/>
        <v>0</v>
      </c>
      <c r="GF4" s="1">
        <f t="shared" si="2"/>
        <v>0</v>
      </c>
      <c r="GG4" s="1">
        <f t="shared" si="2"/>
        <v>0</v>
      </c>
      <c r="GH4" s="1">
        <f t="shared" si="2"/>
        <v>0</v>
      </c>
      <c r="GI4" s="1">
        <f t="shared" si="2"/>
        <v>0</v>
      </c>
      <c r="GJ4" s="1">
        <f t="shared" si="2"/>
        <v>0</v>
      </c>
      <c r="GK4" s="1">
        <f t="shared" si="2"/>
        <v>0</v>
      </c>
      <c r="GL4" s="1">
        <f t="shared" si="2"/>
        <v>0</v>
      </c>
      <c r="GM4" s="1">
        <f t="shared" si="2"/>
        <v>0</v>
      </c>
      <c r="GN4" s="1">
        <f t="shared" si="2"/>
        <v>0</v>
      </c>
      <c r="GO4" s="1">
        <f t="shared" si="2"/>
        <v>0</v>
      </c>
      <c r="GP4" s="1">
        <f t="shared" si="2"/>
        <v>0</v>
      </c>
      <c r="GQ4" s="1">
        <f t="shared" si="2"/>
        <v>0</v>
      </c>
      <c r="GR4" s="1">
        <f t="shared" si="2"/>
        <v>0</v>
      </c>
      <c r="GS4" s="1">
        <f t="shared" si="2"/>
        <v>0</v>
      </c>
      <c r="GT4" s="1">
        <f t="shared" si="2"/>
        <v>0</v>
      </c>
      <c r="GU4" s="1">
        <f t="shared" si="2"/>
        <v>0</v>
      </c>
      <c r="GV4" s="1">
        <f t="shared" si="2"/>
        <v>0</v>
      </c>
      <c r="GW4" s="1">
        <f t="shared" si="2"/>
        <v>0</v>
      </c>
      <c r="GX4" s="1">
        <f t="shared" si="2"/>
        <v>0</v>
      </c>
      <c r="GY4" s="1">
        <f t="shared" si="2"/>
        <v>0</v>
      </c>
      <c r="GZ4" s="1">
        <f t="shared" si="2"/>
        <v>0</v>
      </c>
      <c r="HA4" s="1">
        <f t="shared" si="2"/>
        <v>0</v>
      </c>
      <c r="HB4" s="1">
        <f t="shared" si="2"/>
        <v>0</v>
      </c>
      <c r="HC4" s="1">
        <f t="shared" si="2"/>
        <v>0</v>
      </c>
      <c r="HD4" s="1">
        <f t="shared" si="2"/>
        <v>0</v>
      </c>
      <c r="HE4" s="1">
        <f t="shared" si="2"/>
        <v>0</v>
      </c>
      <c r="HF4" s="1">
        <f t="shared" si="2"/>
        <v>0</v>
      </c>
      <c r="HG4" s="1">
        <f t="shared" si="2"/>
        <v>0</v>
      </c>
      <c r="HH4" s="1">
        <f t="shared" si="2"/>
        <v>0</v>
      </c>
      <c r="HI4" s="1">
        <f t="shared" si="2"/>
        <v>0</v>
      </c>
      <c r="HJ4" s="1">
        <f t="shared" si="2"/>
        <v>0</v>
      </c>
      <c r="HK4" s="1">
        <f t="shared" si="2"/>
        <v>0</v>
      </c>
      <c r="HL4" s="1">
        <f t="shared" si="2"/>
        <v>0</v>
      </c>
      <c r="HM4" s="1">
        <f t="shared" si="2"/>
        <v>0</v>
      </c>
      <c r="HN4" s="1">
        <f t="shared" si="2"/>
        <v>0</v>
      </c>
      <c r="HO4" s="1">
        <f t="shared" si="2"/>
        <v>0</v>
      </c>
      <c r="HP4" s="1">
        <f t="shared" si="2"/>
        <v>0</v>
      </c>
      <c r="HQ4" s="1">
        <f t="shared" si="2"/>
        <v>0</v>
      </c>
      <c r="HR4" s="1">
        <f t="shared" si="2"/>
        <v>0</v>
      </c>
      <c r="HS4" s="1">
        <f t="shared" si="2"/>
        <v>0</v>
      </c>
      <c r="HT4" s="1">
        <f t="shared" si="2"/>
        <v>0</v>
      </c>
      <c r="HU4" s="1">
        <f t="shared" si="2"/>
        <v>0</v>
      </c>
      <c r="HV4" s="1">
        <f t="shared" si="2"/>
        <v>0</v>
      </c>
      <c r="HW4" s="1">
        <f t="shared" si="2"/>
        <v>0</v>
      </c>
      <c r="HX4" s="1">
        <f t="shared" si="2"/>
        <v>0</v>
      </c>
      <c r="HY4" s="1">
        <f t="shared" si="2"/>
        <v>0</v>
      </c>
      <c r="HZ4" s="1">
        <f t="shared" si="2"/>
        <v>0</v>
      </c>
      <c r="IA4" s="1">
        <f t="shared" si="2"/>
        <v>0</v>
      </c>
    </row>
    <row r="5" ht="14.25" customHeight="1">
      <c r="A5" s="29" t="s">
        <v>26</v>
      </c>
      <c r="B5" s="1">
        <v>1.0</v>
      </c>
      <c r="C5" s="1">
        <v>3.0</v>
      </c>
      <c r="D5" s="1">
        <v>7.0</v>
      </c>
      <c r="E5" s="1">
        <v>8.0</v>
      </c>
      <c r="F5" s="1">
        <v>11.0</v>
      </c>
      <c r="G5" s="1">
        <v>16.0</v>
      </c>
      <c r="H5" s="1">
        <v>17.0</v>
      </c>
      <c r="I5" s="1">
        <v>18.0</v>
      </c>
      <c r="J5" s="1">
        <v>23.0</v>
      </c>
      <c r="K5" s="1">
        <v>27.0</v>
      </c>
      <c r="L5" s="1">
        <v>31.0</v>
      </c>
      <c r="M5" s="1">
        <v>31.0</v>
      </c>
      <c r="N5" s="1">
        <v>31.0</v>
      </c>
      <c r="O5" s="1">
        <v>35.0</v>
      </c>
      <c r="P5" s="1">
        <v>40.0</v>
      </c>
      <c r="Q5" s="1">
        <v>45.0</v>
      </c>
    </row>
    <row r="6" ht="14.25" customHeight="1">
      <c r="A6" s="29" t="s">
        <v>27</v>
      </c>
      <c r="B6" s="1">
        <v>2.0</v>
      </c>
      <c r="C6" s="1">
        <v>4.0</v>
      </c>
      <c r="D6" s="1">
        <v>5.0</v>
      </c>
      <c r="E6" s="1">
        <v>7.0</v>
      </c>
      <c r="F6" s="1">
        <v>7.0</v>
      </c>
      <c r="G6" s="1">
        <v>7.0</v>
      </c>
      <c r="H6" s="1">
        <v>12.0</v>
      </c>
      <c r="I6" s="1">
        <v>12.0</v>
      </c>
      <c r="J6" s="1">
        <v>12.0</v>
      </c>
      <c r="K6" s="1">
        <v>12.0</v>
      </c>
      <c r="L6" s="1">
        <v>12.0</v>
      </c>
      <c r="M6" s="1">
        <v>12.0</v>
      </c>
      <c r="N6" s="1">
        <v>12.0</v>
      </c>
      <c r="O6" s="1">
        <v>11.0</v>
      </c>
      <c r="P6" s="1">
        <v>11.0</v>
      </c>
      <c r="Q6" s="1">
        <v>11.0</v>
      </c>
    </row>
    <row r="7" ht="14.25" customHeight="1">
      <c r="A7" s="29" t="s">
        <v>28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2.0</v>
      </c>
      <c r="N7" s="1">
        <v>2.0</v>
      </c>
      <c r="O7" s="1">
        <v>2.0</v>
      </c>
      <c r="P7" s="1">
        <v>2.0</v>
      </c>
      <c r="Q7" s="1">
        <v>2.0</v>
      </c>
    </row>
    <row r="8" ht="14.25" customHeight="1"/>
    <row r="9" ht="14.25" customHeight="1"/>
    <row r="10" ht="14.25" customHeight="1">
      <c r="B10" s="57">
        <f t="shared" ref="B10:DA10" si="3">B2</f>
        <v>46216</v>
      </c>
      <c r="C10" s="57">
        <f t="shared" si="3"/>
        <v>46217</v>
      </c>
      <c r="D10" s="57">
        <f t="shared" si="3"/>
        <v>46218</v>
      </c>
      <c r="E10" s="57">
        <f t="shared" si="3"/>
        <v>46219</v>
      </c>
      <c r="F10" s="57">
        <f t="shared" si="3"/>
        <v>46220</v>
      </c>
      <c r="G10" s="57">
        <f t="shared" si="3"/>
        <v>46221</v>
      </c>
      <c r="H10" s="57">
        <f t="shared" si="3"/>
        <v>46222</v>
      </c>
      <c r="I10" s="57">
        <f t="shared" si="3"/>
        <v>46223</v>
      </c>
      <c r="J10" s="57">
        <f t="shared" si="3"/>
        <v>46224</v>
      </c>
      <c r="K10" s="57">
        <f t="shared" si="3"/>
        <v>46225</v>
      </c>
      <c r="L10" s="57">
        <f t="shared" si="3"/>
        <v>46226</v>
      </c>
      <c r="M10" s="57">
        <f t="shared" si="3"/>
        <v>46227</v>
      </c>
      <c r="N10" s="57">
        <f t="shared" si="3"/>
        <v>46228</v>
      </c>
      <c r="O10" s="57">
        <f t="shared" si="3"/>
        <v>46229</v>
      </c>
      <c r="P10" s="57">
        <f t="shared" si="3"/>
        <v>46230</v>
      </c>
      <c r="Q10" s="57">
        <f t="shared" si="3"/>
        <v>46231</v>
      </c>
      <c r="R10" s="57">
        <f t="shared" si="3"/>
        <v>46238</v>
      </c>
      <c r="S10" s="57">
        <f t="shared" si="3"/>
        <v>46245</v>
      </c>
      <c r="T10" s="57">
        <f t="shared" si="3"/>
        <v>46252</v>
      </c>
      <c r="U10" s="57">
        <f t="shared" si="3"/>
        <v>46259</v>
      </c>
      <c r="V10" s="57">
        <f t="shared" si="3"/>
        <v>46266</v>
      </c>
      <c r="W10" s="57">
        <f t="shared" si="3"/>
        <v>46273</v>
      </c>
      <c r="X10" s="57">
        <f t="shared" si="3"/>
        <v>46280</v>
      </c>
      <c r="Y10" s="57">
        <f t="shared" si="3"/>
        <v>46287</v>
      </c>
      <c r="Z10" s="57">
        <f t="shared" si="3"/>
        <v>46294</v>
      </c>
      <c r="AA10" s="57">
        <f t="shared" si="3"/>
        <v>46301</v>
      </c>
      <c r="AB10" s="57">
        <f t="shared" si="3"/>
        <v>46308</v>
      </c>
      <c r="AC10" s="57">
        <f t="shared" si="3"/>
        <v>46315</v>
      </c>
      <c r="AD10" s="57">
        <f t="shared" si="3"/>
        <v>46322</v>
      </c>
      <c r="AE10" s="57">
        <f t="shared" si="3"/>
        <v>46329</v>
      </c>
      <c r="AF10" s="57">
        <f t="shared" si="3"/>
        <v>46336</v>
      </c>
      <c r="AG10" s="57">
        <f t="shared" si="3"/>
        <v>46343</v>
      </c>
      <c r="AH10" s="57">
        <f t="shared" si="3"/>
        <v>46350</v>
      </c>
      <c r="AI10" s="57">
        <f t="shared" si="3"/>
        <v>46357</v>
      </c>
      <c r="AJ10" s="57">
        <f t="shared" si="3"/>
        <v>46364</v>
      </c>
      <c r="AK10" s="57">
        <f t="shared" si="3"/>
        <v>46371</v>
      </c>
      <c r="AL10" s="57">
        <f t="shared" si="3"/>
        <v>46378</v>
      </c>
      <c r="AM10" s="57">
        <f t="shared" si="3"/>
        <v>46385</v>
      </c>
      <c r="AN10" s="57">
        <f t="shared" si="3"/>
        <v>46392</v>
      </c>
      <c r="AO10" s="57">
        <f t="shared" si="3"/>
        <v>46399</v>
      </c>
      <c r="AP10" s="57">
        <f t="shared" si="3"/>
        <v>46406</v>
      </c>
      <c r="AQ10" s="57">
        <f t="shared" si="3"/>
        <v>46413</v>
      </c>
      <c r="AR10" s="57">
        <f t="shared" si="3"/>
        <v>46420</v>
      </c>
      <c r="AS10" s="57">
        <f t="shared" si="3"/>
        <v>46427</v>
      </c>
      <c r="AT10" s="57">
        <f t="shared" si="3"/>
        <v>46434</v>
      </c>
      <c r="AU10" s="57">
        <f t="shared" si="3"/>
        <v>46441</v>
      </c>
      <c r="AV10" s="57">
        <f t="shared" si="3"/>
        <v>46448</v>
      </c>
      <c r="AW10" s="57">
        <f t="shared" si="3"/>
        <v>46455</v>
      </c>
      <c r="AX10" s="57">
        <f t="shared" si="3"/>
        <v>46462</v>
      </c>
      <c r="AY10" s="57">
        <f t="shared" si="3"/>
        <v>46469</v>
      </c>
      <c r="AZ10" s="57">
        <f t="shared" si="3"/>
        <v>46476</v>
      </c>
      <c r="BA10" s="57">
        <f t="shared" si="3"/>
        <v>46483</v>
      </c>
      <c r="BB10" s="57">
        <f t="shared" si="3"/>
        <v>46490</v>
      </c>
      <c r="BC10" s="57">
        <f t="shared" si="3"/>
        <v>46497</v>
      </c>
      <c r="BD10" s="57">
        <f t="shared" si="3"/>
        <v>46504</v>
      </c>
      <c r="BE10" s="57">
        <f t="shared" si="3"/>
        <v>46511</v>
      </c>
      <c r="BF10" s="57">
        <f t="shared" si="3"/>
        <v>46518</v>
      </c>
      <c r="BG10" s="57">
        <f t="shared" si="3"/>
        <v>46525</v>
      </c>
      <c r="BH10" s="57">
        <f t="shared" si="3"/>
        <v>46532</v>
      </c>
      <c r="BI10" s="57">
        <f t="shared" si="3"/>
        <v>46539</v>
      </c>
      <c r="BJ10" s="57">
        <f t="shared" si="3"/>
        <v>46546</v>
      </c>
      <c r="BK10" s="57">
        <f t="shared" si="3"/>
        <v>46553</v>
      </c>
      <c r="BL10" s="57">
        <f t="shared" si="3"/>
        <v>46560</v>
      </c>
      <c r="BM10" s="57">
        <f t="shared" si="3"/>
        <v>46567</v>
      </c>
      <c r="BN10" s="57">
        <f t="shared" si="3"/>
        <v>46574</v>
      </c>
      <c r="BO10" s="57">
        <f t="shared" si="3"/>
        <v>46581</v>
      </c>
      <c r="BP10" s="57">
        <f t="shared" si="3"/>
        <v>46588</v>
      </c>
      <c r="BQ10" s="57">
        <f t="shared" si="3"/>
        <v>46595</v>
      </c>
      <c r="BR10" s="57">
        <f t="shared" si="3"/>
        <v>46602</v>
      </c>
      <c r="BS10" s="57">
        <f t="shared" si="3"/>
        <v>46609</v>
      </c>
      <c r="BT10" s="57">
        <f t="shared" si="3"/>
        <v>46616</v>
      </c>
      <c r="BU10" s="57">
        <f t="shared" si="3"/>
        <v>46623</v>
      </c>
      <c r="BV10" s="57">
        <f t="shared" si="3"/>
        <v>46630</v>
      </c>
      <c r="BW10" s="57">
        <f t="shared" si="3"/>
        <v>46637</v>
      </c>
      <c r="BX10" s="57">
        <f t="shared" si="3"/>
        <v>46644</v>
      </c>
      <c r="BY10" s="57">
        <f t="shared" si="3"/>
        <v>46651</v>
      </c>
      <c r="BZ10" s="57">
        <f t="shared" si="3"/>
        <v>46658</v>
      </c>
      <c r="CA10" s="57">
        <f t="shared" si="3"/>
        <v>46665</v>
      </c>
      <c r="CB10" s="57">
        <f t="shared" si="3"/>
        <v>46672</v>
      </c>
      <c r="CC10" s="57">
        <f t="shared" si="3"/>
        <v>46679</v>
      </c>
      <c r="CD10" s="57">
        <f t="shared" si="3"/>
        <v>46686</v>
      </c>
      <c r="CE10" s="57">
        <f t="shared" si="3"/>
        <v>46693</v>
      </c>
      <c r="CF10" s="57">
        <f t="shared" si="3"/>
        <v>46700</v>
      </c>
      <c r="CG10" s="57">
        <f t="shared" si="3"/>
        <v>46707</v>
      </c>
      <c r="CH10" s="57">
        <f t="shared" si="3"/>
        <v>46714</v>
      </c>
      <c r="CI10" s="57">
        <f t="shared" si="3"/>
        <v>46721</v>
      </c>
      <c r="CJ10" s="57">
        <f t="shared" si="3"/>
        <v>46728</v>
      </c>
      <c r="CK10" s="57">
        <f t="shared" si="3"/>
        <v>46735</v>
      </c>
      <c r="CL10" s="57">
        <f t="shared" si="3"/>
        <v>46742</v>
      </c>
      <c r="CM10" s="57">
        <f t="shared" si="3"/>
        <v>46749</v>
      </c>
      <c r="CN10" s="57">
        <f t="shared" si="3"/>
        <v>46756</v>
      </c>
      <c r="CO10" s="57">
        <f t="shared" si="3"/>
        <v>46763</v>
      </c>
      <c r="CP10" s="57">
        <f t="shared" si="3"/>
        <v>46770</v>
      </c>
      <c r="CQ10" s="57">
        <f t="shared" si="3"/>
        <v>46777</v>
      </c>
      <c r="CR10" s="57">
        <f t="shared" si="3"/>
        <v>46784</v>
      </c>
      <c r="CS10" s="57">
        <f t="shared" si="3"/>
        <v>46791</v>
      </c>
      <c r="CT10" s="57">
        <f t="shared" si="3"/>
        <v>46798</v>
      </c>
      <c r="CU10" s="57">
        <f t="shared" si="3"/>
        <v>46805</v>
      </c>
      <c r="CV10" s="57">
        <f t="shared" si="3"/>
        <v>46812</v>
      </c>
      <c r="CW10" s="57">
        <f t="shared" si="3"/>
        <v>46819</v>
      </c>
      <c r="CX10" s="57">
        <f t="shared" si="3"/>
        <v>46826</v>
      </c>
      <c r="CY10" s="57">
        <f t="shared" si="3"/>
        <v>46833</v>
      </c>
      <c r="CZ10" s="57">
        <f t="shared" si="3"/>
        <v>46840</v>
      </c>
      <c r="DA10" s="57">
        <f t="shared" si="3"/>
        <v>46847</v>
      </c>
    </row>
    <row r="11" ht="14.25" customHeight="1">
      <c r="A11" s="29" t="s">
        <v>44</v>
      </c>
      <c r="B11" s="39">
        <f t="shared" ref="B11:DA11" si="4">C3/C3</f>
        <v>1</v>
      </c>
      <c r="C11" s="39">
        <f t="shared" si="4"/>
        <v>1</v>
      </c>
      <c r="D11" s="39">
        <f t="shared" si="4"/>
        <v>1</v>
      </c>
      <c r="E11" s="39">
        <f t="shared" si="4"/>
        <v>1</v>
      </c>
      <c r="F11" s="39">
        <f t="shared" si="4"/>
        <v>1</v>
      </c>
      <c r="G11" s="39">
        <f t="shared" si="4"/>
        <v>1</v>
      </c>
      <c r="H11" s="39">
        <f t="shared" si="4"/>
        <v>1</v>
      </c>
      <c r="I11" s="39">
        <f t="shared" si="4"/>
        <v>1</v>
      </c>
      <c r="J11" s="39">
        <f t="shared" si="4"/>
        <v>1</v>
      </c>
      <c r="K11" s="39">
        <f t="shared" si="4"/>
        <v>1</v>
      </c>
      <c r="L11" s="39">
        <f t="shared" si="4"/>
        <v>1</v>
      </c>
      <c r="M11" s="39">
        <f t="shared" si="4"/>
        <v>1</v>
      </c>
      <c r="N11" s="39">
        <f t="shared" si="4"/>
        <v>1</v>
      </c>
      <c r="O11" s="39">
        <f t="shared" si="4"/>
        <v>1</v>
      </c>
      <c r="P11" s="39">
        <f t="shared" si="4"/>
        <v>1</v>
      </c>
      <c r="Q11" s="39">
        <f t="shared" si="4"/>
        <v>1</v>
      </c>
      <c r="R11" s="39">
        <f t="shared" si="4"/>
        <v>1</v>
      </c>
      <c r="S11" s="39">
        <f t="shared" si="4"/>
        <v>1</v>
      </c>
      <c r="T11" s="39">
        <f t="shared" si="4"/>
        <v>1</v>
      </c>
      <c r="U11" s="39">
        <f t="shared" si="4"/>
        <v>1</v>
      </c>
      <c r="V11" s="39">
        <f t="shared" si="4"/>
        <v>1</v>
      </c>
      <c r="W11" s="39">
        <f t="shared" si="4"/>
        <v>1</v>
      </c>
      <c r="X11" s="39">
        <f t="shared" si="4"/>
        <v>1</v>
      </c>
      <c r="Y11" s="39">
        <f t="shared" si="4"/>
        <v>1</v>
      </c>
      <c r="Z11" s="39">
        <f t="shared" si="4"/>
        <v>1</v>
      </c>
      <c r="AA11" s="39">
        <f t="shared" si="4"/>
        <v>1</v>
      </c>
      <c r="AB11" s="39">
        <f t="shared" si="4"/>
        <v>1</v>
      </c>
      <c r="AC11" s="39">
        <f t="shared" si="4"/>
        <v>1</v>
      </c>
      <c r="AD11" s="39">
        <f t="shared" si="4"/>
        <v>1</v>
      </c>
      <c r="AE11" s="39">
        <f t="shared" si="4"/>
        <v>1</v>
      </c>
      <c r="AF11" s="39">
        <f t="shared" si="4"/>
        <v>1</v>
      </c>
      <c r="AG11" s="39">
        <f t="shared" si="4"/>
        <v>1</v>
      </c>
      <c r="AH11" s="39">
        <f t="shared" si="4"/>
        <v>1</v>
      </c>
      <c r="AI11" s="39">
        <f t="shared" si="4"/>
        <v>1</v>
      </c>
      <c r="AJ11" s="39">
        <f t="shared" si="4"/>
        <v>1</v>
      </c>
      <c r="AK11" s="39">
        <f t="shared" si="4"/>
        <v>1</v>
      </c>
      <c r="AL11" s="39">
        <f t="shared" si="4"/>
        <v>1</v>
      </c>
      <c r="AM11" s="39">
        <f t="shared" si="4"/>
        <v>1</v>
      </c>
      <c r="AN11" s="39">
        <f t="shared" si="4"/>
        <v>1</v>
      </c>
      <c r="AO11" s="39">
        <f t="shared" si="4"/>
        <v>1</v>
      </c>
      <c r="AP11" s="39">
        <f t="shared" si="4"/>
        <v>1</v>
      </c>
      <c r="AQ11" s="39">
        <f t="shared" si="4"/>
        <v>1</v>
      </c>
      <c r="AR11" s="39">
        <f t="shared" si="4"/>
        <v>1</v>
      </c>
      <c r="AS11" s="39">
        <f t="shared" si="4"/>
        <v>1</v>
      </c>
      <c r="AT11" s="39">
        <f t="shared" si="4"/>
        <v>1</v>
      </c>
      <c r="AU11" s="39">
        <f t="shared" si="4"/>
        <v>1</v>
      </c>
      <c r="AV11" s="39">
        <f t="shared" si="4"/>
        <v>1</v>
      </c>
      <c r="AW11" s="39">
        <f t="shared" si="4"/>
        <v>1</v>
      </c>
      <c r="AX11" s="39">
        <f t="shared" si="4"/>
        <v>1</v>
      </c>
      <c r="AY11" s="39">
        <f t="shared" si="4"/>
        <v>1</v>
      </c>
      <c r="AZ11" s="39">
        <f t="shared" si="4"/>
        <v>1</v>
      </c>
      <c r="BA11" s="39">
        <f t="shared" si="4"/>
        <v>1</v>
      </c>
      <c r="BB11" s="39">
        <f t="shared" si="4"/>
        <v>1</v>
      </c>
      <c r="BC11" s="39">
        <f t="shared" si="4"/>
        <v>1</v>
      </c>
      <c r="BD11" s="39">
        <f t="shared" si="4"/>
        <v>1</v>
      </c>
      <c r="BE11" s="39">
        <f t="shared" si="4"/>
        <v>1</v>
      </c>
      <c r="BF11" s="39">
        <f t="shared" si="4"/>
        <v>1</v>
      </c>
      <c r="BG11" s="39">
        <f t="shared" si="4"/>
        <v>1</v>
      </c>
      <c r="BH11" s="39">
        <f t="shared" si="4"/>
        <v>1</v>
      </c>
      <c r="BI11" s="39">
        <f t="shared" si="4"/>
        <v>1</v>
      </c>
      <c r="BJ11" s="39">
        <f t="shared" si="4"/>
        <v>1</v>
      </c>
      <c r="BK11" s="39">
        <f t="shared" si="4"/>
        <v>1</v>
      </c>
      <c r="BL11" s="39">
        <f t="shared" si="4"/>
        <v>1</v>
      </c>
      <c r="BM11" s="39">
        <f t="shared" si="4"/>
        <v>1</v>
      </c>
      <c r="BN11" s="39">
        <f t="shared" si="4"/>
        <v>1</v>
      </c>
      <c r="BO11" s="39">
        <f t="shared" si="4"/>
        <v>1</v>
      </c>
      <c r="BP11" s="39">
        <f t="shared" si="4"/>
        <v>1</v>
      </c>
      <c r="BQ11" s="39">
        <f t="shared" si="4"/>
        <v>1</v>
      </c>
      <c r="BR11" s="39">
        <f t="shared" si="4"/>
        <v>1</v>
      </c>
      <c r="BS11" s="39">
        <f t="shared" si="4"/>
        <v>1</v>
      </c>
      <c r="BT11" s="39">
        <f t="shared" si="4"/>
        <v>1</v>
      </c>
      <c r="BU11" s="39">
        <f t="shared" si="4"/>
        <v>1</v>
      </c>
      <c r="BV11" s="39">
        <f t="shared" si="4"/>
        <v>1</v>
      </c>
      <c r="BW11" s="39">
        <f t="shared" si="4"/>
        <v>1</v>
      </c>
      <c r="BX11" s="39">
        <f t="shared" si="4"/>
        <v>1</v>
      </c>
      <c r="BY11" s="39">
        <f t="shared" si="4"/>
        <v>1</v>
      </c>
      <c r="BZ11" s="39">
        <f t="shared" si="4"/>
        <v>1</v>
      </c>
      <c r="CA11" s="39">
        <f t="shared" si="4"/>
        <v>1</v>
      </c>
      <c r="CB11" s="39">
        <f t="shared" si="4"/>
        <v>1</v>
      </c>
      <c r="CC11" s="39">
        <f t="shared" si="4"/>
        <v>1</v>
      </c>
      <c r="CD11" s="39">
        <f t="shared" si="4"/>
        <v>1</v>
      </c>
      <c r="CE11" s="39">
        <f t="shared" si="4"/>
        <v>1</v>
      </c>
      <c r="CF11" s="39">
        <f t="shared" si="4"/>
        <v>1</v>
      </c>
      <c r="CG11" s="39">
        <f t="shared" si="4"/>
        <v>1</v>
      </c>
      <c r="CH11" s="39">
        <f t="shared" si="4"/>
        <v>1</v>
      </c>
      <c r="CI11" s="39">
        <f t="shared" si="4"/>
        <v>1</v>
      </c>
      <c r="CJ11" s="39">
        <f t="shared" si="4"/>
        <v>1</v>
      </c>
      <c r="CK11" s="39">
        <f t="shared" si="4"/>
        <v>1</v>
      </c>
      <c r="CL11" s="39">
        <f t="shared" si="4"/>
        <v>1</v>
      </c>
      <c r="CM11" s="39">
        <f t="shared" si="4"/>
        <v>1</v>
      </c>
      <c r="CN11" s="39">
        <f t="shared" si="4"/>
        <v>1</v>
      </c>
      <c r="CO11" s="39">
        <f t="shared" si="4"/>
        <v>1</v>
      </c>
      <c r="CP11" s="39">
        <f t="shared" si="4"/>
        <v>1</v>
      </c>
      <c r="CQ11" s="39">
        <f t="shared" si="4"/>
        <v>1</v>
      </c>
      <c r="CR11" s="39">
        <f t="shared" si="4"/>
        <v>1</v>
      </c>
      <c r="CS11" s="39">
        <f t="shared" si="4"/>
        <v>1</v>
      </c>
      <c r="CT11" s="39">
        <f t="shared" si="4"/>
        <v>1</v>
      </c>
      <c r="CU11" s="39">
        <f t="shared" si="4"/>
        <v>1</v>
      </c>
      <c r="CV11" s="39">
        <f t="shared" si="4"/>
        <v>1</v>
      </c>
      <c r="CW11" s="39">
        <f t="shared" si="4"/>
        <v>1</v>
      </c>
      <c r="CX11" s="39">
        <f t="shared" si="4"/>
        <v>1</v>
      </c>
      <c r="CY11" s="39">
        <f t="shared" si="4"/>
        <v>1</v>
      </c>
      <c r="CZ11" s="39">
        <f t="shared" si="4"/>
        <v>1</v>
      </c>
      <c r="DA11" s="39">
        <f t="shared" si="4"/>
        <v>1</v>
      </c>
    </row>
    <row r="12" ht="14.25" customHeight="1">
      <c r="A12" s="29" t="s">
        <v>45</v>
      </c>
      <c r="B12" s="39">
        <f t="shared" ref="B12:Q12" si="5">B4/B3</f>
        <v>0.03</v>
      </c>
      <c r="C12" s="39">
        <f t="shared" si="5"/>
        <v>0.07</v>
      </c>
      <c r="D12" s="39">
        <f t="shared" si="5"/>
        <v>0.12</v>
      </c>
      <c r="E12" s="39">
        <f t="shared" si="5"/>
        <v>0.15</v>
      </c>
      <c r="F12" s="39">
        <f t="shared" si="5"/>
        <v>0.18</v>
      </c>
      <c r="G12" s="39">
        <f t="shared" si="5"/>
        <v>0.23</v>
      </c>
      <c r="H12" s="39">
        <f t="shared" si="5"/>
        <v>0.31</v>
      </c>
      <c r="I12" s="39">
        <f t="shared" si="5"/>
        <v>0.32</v>
      </c>
      <c r="J12" s="39">
        <f t="shared" si="5"/>
        <v>0.37</v>
      </c>
      <c r="K12" s="39">
        <f t="shared" si="5"/>
        <v>0.41</v>
      </c>
      <c r="L12" s="39">
        <f t="shared" si="5"/>
        <v>0.45</v>
      </c>
      <c r="M12" s="39">
        <f t="shared" si="5"/>
        <v>0.45</v>
      </c>
      <c r="N12" s="39">
        <f t="shared" si="5"/>
        <v>0.45</v>
      </c>
      <c r="O12" s="39">
        <f t="shared" si="5"/>
        <v>0.48</v>
      </c>
      <c r="P12" s="39">
        <f t="shared" si="5"/>
        <v>0.53</v>
      </c>
      <c r="Q12" s="39">
        <f t="shared" si="5"/>
        <v>0.58</v>
      </c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54"/>
    </row>
    <row r="13" ht="14.25" customHeight="1">
      <c r="A13" s="29" t="s">
        <v>26</v>
      </c>
      <c r="B13" s="39">
        <f t="shared" ref="B13:Q13" si="6">B5/B3</f>
        <v>0.01</v>
      </c>
      <c r="C13" s="39">
        <f t="shared" si="6"/>
        <v>0.03</v>
      </c>
      <c r="D13" s="39">
        <f t="shared" si="6"/>
        <v>0.07</v>
      </c>
      <c r="E13" s="39">
        <f t="shared" si="6"/>
        <v>0.08</v>
      </c>
      <c r="F13" s="39">
        <f t="shared" si="6"/>
        <v>0.11</v>
      </c>
      <c r="G13" s="39">
        <f t="shared" si="6"/>
        <v>0.16</v>
      </c>
      <c r="H13" s="39">
        <f t="shared" si="6"/>
        <v>0.17</v>
      </c>
      <c r="I13" s="39">
        <f t="shared" si="6"/>
        <v>0.18</v>
      </c>
      <c r="J13" s="39">
        <f t="shared" si="6"/>
        <v>0.23</v>
      </c>
      <c r="K13" s="39">
        <f t="shared" si="6"/>
        <v>0.27</v>
      </c>
      <c r="L13" s="39">
        <f t="shared" si="6"/>
        <v>0.31</v>
      </c>
      <c r="M13" s="39">
        <f t="shared" si="6"/>
        <v>0.31</v>
      </c>
      <c r="N13" s="39">
        <f t="shared" si="6"/>
        <v>0.31</v>
      </c>
      <c r="O13" s="39">
        <f t="shared" si="6"/>
        <v>0.35</v>
      </c>
      <c r="P13" s="39">
        <f t="shared" si="6"/>
        <v>0.4</v>
      </c>
      <c r="Q13" s="39">
        <f t="shared" si="6"/>
        <v>0.45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</row>
    <row r="14" ht="14.25" customHeight="1">
      <c r="A14" s="29" t="s">
        <v>27</v>
      </c>
      <c r="B14" s="39">
        <f t="shared" ref="B14:Q14" si="7">B6/B3</f>
        <v>0.02</v>
      </c>
      <c r="C14" s="39">
        <f t="shared" si="7"/>
        <v>0.04</v>
      </c>
      <c r="D14" s="39">
        <f t="shared" si="7"/>
        <v>0.05</v>
      </c>
      <c r="E14" s="39">
        <f t="shared" si="7"/>
        <v>0.07</v>
      </c>
      <c r="F14" s="39">
        <f t="shared" si="7"/>
        <v>0.07</v>
      </c>
      <c r="G14" s="39">
        <f t="shared" si="7"/>
        <v>0.07</v>
      </c>
      <c r="H14" s="39">
        <f t="shared" si="7"/>
        <v>0.12</v>
      </c>
      <c r="I14" s="39">
        <f t="shared" si="7"/>
        <v>0.12</v>
      </c>
      <c r="J14" s="39">
        <f t="shared" si="7"/>
        <v>0.12</v>
      </c>
      <c r="K14" s="39">
        <f t="shared" si="7"/>
        <v>0.12</v>
      </c>
      <c r="L14" s="39">
        <f t="shared" si="7"/>
        <v>0.12</v>
      </c>
      <c r="M14" s="39">
        <f t="shared" si="7"/>
        <v>0.12</v>
      </c>
      <c r="N14" s="39">
        <f t="shared" si="7"/>
        <v>0.12</v>
      </c>
      <c r="O14" s="39">
        <f t="shared" si="7"/>
        <v>0.11</v>
      </c>
      <c r="P14" s="39">
        <f t="shared" si="7"/>
        <v>0.11</v>
      </c>
      <c r="Q14" s="39">
        <f t="shared" si="7"/>
        <v>0.11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</row>
    <row r="15" ht="14.25" customHeight="1">
      <c r="A15" s="29" t="s">
        <v>28</v>
      </c>
      <c r="B15" s="39">
        <f t="shared" ref="B15:Q15" si="8">B7/B3</f>
        <v>0</v>
      </c>
      <c r="C15" s="39">
        <f t="shared" si="8"/>
        <v>0</v>
      </c>
      <c r="D15" s="39">
        <f t="shared" si="8"/>
        <v>0</v>
      </c>
      <c r="E15" s="39">
        <f t="shared" si="8"/>
        <v>0</v>
      </c>
      <c r="F15" s="39">
        <f t="shared" si="8"/>
        <v>0</v>
      </c>
      <c r="G15" s="39">
        <f t="shared" si="8"/>
        <v>0</v>
      </c>
      <c r="H15" s="39">
        <f t="shared" si="8"/>
        <v>0.02</v>
      </c>
      <c r="I15" s="39">
        <f t="shared" si="8"/>
        <v>0.02</v>
      </c>
      <c r="J15" s="39">
        <f t="shared" si="8"/>
        <v>0.02</v>
      </c>
      <c r="K15" s="39">
        <f t="shared" si="8"/>
        <v>0.02</v>
      </c>
      <c r="L15" s="39">
        <f t="shared" si="8"/>
        <v>0.02</v>
      </c>
      <c r="M15" s="39">
        <f t="shared" si="8"/>
        <v>0.02</v>
      </c>
      <c r="N15" s="39">
        <f t="shared" si="8"/>
        <v>0.02</v>
      </c>
      <c r="O15" s="39">
        <f t="shared" si="8"/>
        <v>0.02</v>
      </c>
      <c r="P15" s="39">
        <f t="shared" si="8"/>
        <v>0.02</v>
      </c>
      <c r="Q15" s="39">
        <f t="shared" si="8"/>
        <v>0.02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2026-02-19T08:50:52Z</dcterms:created>
  <dc:creator>Candidat4</dc:creator>
</cp:coreProperties>
</file>